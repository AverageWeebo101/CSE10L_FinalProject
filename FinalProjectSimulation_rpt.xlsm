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Arena Simulation Models\"/>
    </mc:Choice>
  </mc:AlternateContent>
  <xr:revisionPtr revIDLastSave="0" documentId="13_ncr:1_{7E12C4DE-2BE7-442E-85C7-D9EE495A1260}" xr6:coauthVersionLast="47" xr6:coauthVersionMax="47" xr10:uidLastSave="{00000000-0000-0000-0000-000000000000}"/>
  <bookViews>
    <workbookView xWindow="-108" yWindow="-108" windowWidth="23256" windowHeight="13176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ContinuousTimeStatsByRep!$A$1:$L$22</definedName>
    <definedName name="ExternalData_1" localSheetId="4" hidden="1">CounterStatsByRep!$A$1:$G$2</definedName>
    <definedName name="ExternalData_1" localSheetId="2" hidden="1">DiscreteTimeStatsByRep!$A$1:$K$25</definedName>
    <definedName name="ExternalData_1" localSheetId="6" hidden="1">FrequencyStatsByRep!$A$1:$K$2</definedName>
    <definedName name="ExternalData_1" localSheetId="5" hidden="1">OutputStatsByRep!$A$1:$H$17</definedName>
    <definedName name="ExternalData_1" localSheetId="0" hidden="1">ProjectInformation!$A$1:$F$3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K14" i="20" s="1" a="1"/>
  <c r="K14" i="20" s="1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/>
  <c r="L6" i="20" a="1"/>
  <c r="L6" i="20" s="1"/>
  <c r="L14" i="20" a="1"/>
  <c r="L14" i="20" s="1"/>
  <c r="L16" i="20" a="1"/>
  <c r="L16" i="20" s="1"/>
  <c r="M2" i="20" a="1"/>
  <c r="M2" i="20" s="1"/>
  <c r="M3" i="20" a="1"/>
  <c r="M3" i="20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O2" i="20" a="1"/>
  <c r="O2" i="20" s="1"/>
  <c r="O3" i="20" a="1"/>
  <c r="O3" i="20"/>
  <c r="O4" i="20" a="1"/>
  <c r="O4" i="20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O7" i="18" a="1"/>
  <c r="O7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 s="1"/>
  <c r="O13" i="18" a="1"/>
  <c r="O13" i="18" s="1"/>
  <c r="O14" i="18" a="1"/>
  <c r="O14" i="18" s="1"/>
  <c r="O15" i="18" a="1"/>
  <c r="O15" i="18" s="1"/>
  <c r="O16" i="18" a="1"/>
  <c r="O16" i="18" s="1"/>
  <c r="O17" i="18" a="1"/>
  <c r="O17" i="18" s="1"/>
  <c r="O18" i="18" a="1"/>
  <c r="O18" i="18" s="1"/>
  <c r="O19" i="18" a="1"/>
  <c r="O19" i="18" s="1"/>
  <c r="O20" i="18" a="1"/>
  <c r="O20" i="18" s="1"/>
  <c r="O21" i="18" a="1"/>
  <c r="O21" i="18" s="1"/>
  <c r="O22" i="18" a="1"/>
  <c r="O22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 s="1"/>
  <c r="Q21" i="18" a="1"/>
  <c r="Q21" i="18" s="1"/>
  <c r="Q22" i="18" a="1"/>
  <c r="Q22" i="18" s="1"/>
  <c r="S2" i="18" a="1"/>
  <c r="S2" i="18"/>
  <c r="S3" i="18" a="1"/>
  <c r="S3" i="18"/>
  <c r="S4" i="18" a="1"/>
  <c r="S4" i="18"/>
  <c r="S5" i="18" a="1"/>
  <c r="S5" i="18"/>
  <c r="S6" i="18" a="1"/>
  <c r="S6" i="18"/>
  <c r="S7" i="18" a="1"/>
  <c r="S7" i="18"/>
  <c r="S8" i="18" a="1"/>
  <c r="S8" i="18"/>
  <c r="S9" i="18" a="1"/>
  <c r="S9" i="18"/>
  <c r="S10" i="18" a="1"/>
  <c r="S10" i="18"/>
  <c r="S11" i="18" a="1"/>
  <c r="S11" i="18" s="1"/>
  <c r="S12" i="18" a="1"/>
  <c r="S12" i="18"/>
  <c r="S13" i="18" a="1"/>
  <c r="S13" i="18" s="1"/>
  <c r="S14" i="18" a="1"/>
  <c r="S14" i="18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L2" i="17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R25" i="17" s="1" a="1"/>
  <c r="R25" i="17" s="1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N17" i="17" a="1"/>
  <c r="N17" i="17" s="1"/>
  <c r="O9" i="17" a="1"/>
  <c r="O9" i="17" s="1"/>
  <c r="O13" i="17" a="1"/>
  <c r="O13" i="17" s="1"/>
  <c r="O21" i="17" a="1"/>
  <c r="O21" i="17" s="1"/>
  <c r="O25" i="17" a="1"/>
  <c r="O25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R4" i="17" a="1"/>
  <c r="R4" i="17" s="1"/>
  <c r="R11" i="17" a="1"/>
  <c r="R11" i="17" s="1"/>
  <c r="R14" i="17" a="1"/>
  <c r="R14" i="17" s="1"/>
  <c r="R17" i="17" a="1"/>
  <c r="R17" i="17" s="1"/>
  <c r="R20" i="17" a="1"/>
  <c r="R20" i="17" s="1"/>
  <c r="R21" i="17" a="1"/>
  <c r="R21" i="17" s="1"/>
  <c r="R24" i="17" a="1"/>
  <c r="R24" i="17" s="1"/>
  <c r="S3" i="17" a="1"/>
  <c r="S3" i="17" s="1"/>
  <c r="S6" i="17" a="1"/>
  <c r="S6" i="17" s="1"/>
  <c r="S7" i="17" a="1"/>
  <c r="S7" i="17" s="1"/>
  <c r="S9" i="17" a="1"/>
  <c r="S9" i="17" s="1"/>
  <c r="S10" i="17" a="1"/>
  <c r="S10" i="17" s="1"/>
  <c r="S12" i="17" a="1"/>
  <c r="S12" i="17" s="1"/>
  <c r="S13" i="17" a="1"/>
  <c r="S13" i="17" s="1"/>
  <c r="S16" i="17" a="1"/>
  <c r="S16" i="17" s="1"/>
  <c r="S19" i="17" a="1"/>
  <c r="S19" i="17" s="1"/>
  <c r="S22" i="17" a="1"/>
  <c r="S22" i="17" s="1"/>
  <c r="S23" i="17" a="1"/>
  <c r="S23" i="17" s="1"/>
  <c r="S25" i="17" a="1"/>
  <c r="S25" i="17" s="1"/>
  <c r="T2" i="17" a="1"/>
  <c r="T2" i="17" s="1"/>
  <c r="T4" i="17" a="1"/>
  <c r="T4" i="17" s="1"/>
  <c r="T5" i="17" a="1"/>
  <c r="T5" i="17" s="1"/>
  <c r="T8" i="17" a="1"/>
  <c r="T8" i="17" s="1"/>
  <c r="T11" i="17" a="1"/>
  <c r="T11" i="17" s="1"/>
  <c r="T14" i="17" a="1"/>
  <c r="T14" i="17" s="1"/>
  <c r="T15" i="17" a="1"/>
  <c r="T15" i="17" s="1"/>
  <c r="T17" i="17" a="1"/>
  <c r="T17" i="17" s="1"/>
  <c r="T19" i="17" a="1"/>
  <c r="T19" i="17" s="1"/>
  <c r="T20" i="17" a="1"/>
  <c r="T20" i="17" s="1"/>
  <c r="T21" i="17" a="1"/>
  <c r="T21" i="17" s="1"/>
  <c r="T22" i="17" a="1"/>
  <c r="T22" i="17"/>
  <c r="T23" i="17" a="1"/>
  <c r="T23" i="17" s="1"/>
  <c r="T24" i="17" a="1"/>
  <c r="T24" i="17" s="1"/>
  <c r="T25" i="17" a="1"/>
  <c r="T25" i="17" s="1"/>
  <c r="U2" i="17" a="1"/>
  <c r="U2" i="17"/>
  <c r="U3" i="17" a="1"/>
  <c r="U3" i="17" s="1"/>
  <c r="U4" i="17" a="1"/>
  <c r="U4" i="17" s="1"/>
  <c r="U5" i="17" a="1"/>
  <c r="U5" i="17" s="1"/>
  <c r="U6" i="17" a="1"/>
  <c r="U6" i="17"/>
  <c r="U7" i="17" a="1"/>
  <c r="U7" i="17" s="1"/>
  <c r="U8" i="17" a="1"/>
  <c r="U8" i="17" s="1"/>
  <c r="U9" i="17" a="1"/>
  <c r="U9" i="17" s="1"/>
  <c r="U11" i="17" a="1"/>
  <c r="U11" i="17" s="1"/>
  <c r="U12" i="17" a="1"/>
  <c r="U12" i="17" s="1"/>
  <c r="U13" i="17" a="1"/>
  <c r="U13" i="17" s="1"/>
  <c r="U14" i="17" a="1"/>
  <c r="U14" i="17" s="1"/>
  <c r="U15" i="17" a="1"/>
  <c r="U15" i="17" s="1"/>
  <c r="U16" i="17" a="1"/>
  <c r="U16" i="17"/>
  <c r="U17" i="17" a="1"/>
  <c r="U17" i="17" s="1"/>
  <c r="U18" i="17" a="1"/>
  <c r="U18" i="17" s="1"/>
  <c r="U19" i="17" a="1"/>
  <c r="U19" i="17" s="1"/>
  <c r="U20" i="17" a="1"/>
  <c r="U20" i="17" s="1"/>
  <c r="U21" i="17" a="1"/>
  <c r="U21" i="17" s="1"/>
  <c r="U22" i="17" a="1"/>
  <c r="U22" i="17"/>
  <c r="U23" i="17" a="1"/>
  <c r="U23" i="17" s="1"/>
  <c r="U24" i="17" a="1"/>
  <c r="U24" i="17" s="1"/>
  <c r="U25" i="17" a="1"/>
  <c r="U25" i="17" s="1"/>
  <c r="V2" i="17" a="1"/>
  <c r="V2" i="17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14" i="17" a="1"/>
  <c r="V14" i="17" s="1"/>
  <c r="V15" i="17" a="1"/>
  <c r="V15" i="17" s="1"/>
  <c r="V16" i="17" a="1"/>
  <c r="V16" i="17" s="1"/>
  <c r="V17" i="17" a="1"/>
  <c r="V17" i="17" s="1"/>
  <c r="V18" i="17" a="1"/>
  <c r="V18" i="17" s="1"/>
  <c r="V19" i="17" a="1"/>
  <c r="V19" i="17" s="1"/>
  <c r="V20" i="17" a="1"/>
  <c r="V20" i="17" s="1"/>
  <c r="V21" i="17" a="1"/>
  <c r="V21" i="17" s="1"/>
  <c r="V22" i="17" a="1"/>
  <c r="V22" i="17" s="1"/>
  <c r="V23" i="17" a="1"/>
  <c r="V23" i="17" s="1"/>
  <c r="V24" i="17" a="1"/>
  <c r="V24" i="17" s="1"/>
  <c r="V25" i="17" a="1"/>
  <c r="V25" i="17" s="1"/>
  <c r="W2" i="17"/>
  <c r="W3" i="17"/>
  <c r="W4" i="17"/>
  <c r="W5" i="17"/>
  <c r="W6" i="17"/>
  <c r="W7" i="17"/>
  <c r="W8" i="17"/>
  <c r="W9" i="17"/>
  <c r="W10" i="17"/>
  <c r="W11" i="17"/>
  <c r="W12" i="17"/>
  <c r="W13" i="17"/>
  <c r="W14" i="17"/>
  <c r="W15" i="17"/>
  <c r="W16" i="17"/>
  <c r="W17" i="17"/>
  <c r="W18" i="17"/>
  <c r="W19" i="17"/>
  <c r="W20" i="17"/>
  <c r="W21" i="17"/>
  <c r="W22" i="17"/>
  <c r="W23" i="17"/>
  <c r="W24" i="17"/>
  <c r="W25" i="17"/>
  <c r="X2" i="17" a="1"/>
  <c r="X2" i="17" s="1"/>
  <c r="Y2" i="17" s="1"/>
  <c r="X3" i="17" a="1"/>
  <c r="X3" i="17" s="1"/>
  <c r="Y3" i="17" s="1"/>
  <c r="X4" i="17" a="1"/>
  <c r="X4" i="17" s="1"/>
  <c r="Y4" i="17" s="1"/>
  <c r="X5" i="17" a="1"/>
  <c r="X5" i="17" s="1"/>
  <c r="Y5" i="17" s="1"/>
  <c r="X6" i="17" a="1"/>
  <c r="X6" i="17" s="1"/>
  <c r="Y6" i="17" s="1"/>
  <c r="X7" i="17" a="1"/>
  <c r="X7" i="17" s="1"/>
  <c r="Y7" i="17" s="1"/>
  <c r="X8" i="17" a="1"/>
  <c r="X8" i="17" s="1"/>
  <c r="Y8" i="17" s="1"/>
  <c r="X9" i="17" a="1"/>
  <c r="X9" i="17" s="1"/>
  <c r="Y9" i="17" s="1"/>
  <c r="X10" i="17" a="1"/>
  <c r="X10" i="17" s="1"/>
  <c r="Y10" i="17" s="1"/>
  <c r="X11" i="17" a="1"/>
  <c r="X11" i="17" s="1"/>
  <c r="Y11" i="17" s="1"/>
  <c r="X12" i="17" a="1"/>
  <c r="X12" i="17" s="1"/>
  <c r="Y12" i="17" s="1"/>
  <c r="X13" i="17" a="1"/>
  <c r="X13" i="17" s="1"/>
  <c r="Y13" i="17" s="1"/>
  <c r="X14" i="17" a="1"/>
  <c r="X14" i="17" s="1"/>
  <c r="Y14" i="17" s="1"/>
  <c r="X15" i="17" a="1"/>
  <c r="X15" i="17" s="1"/>
  <c r="Y15" i="17" s="1"/>
  <c r="X16" i="17" a="1"/>
  <c r="X16" i="17" s="1"/>
  <c r="Y16" i="17" s="1"/>
  <c r="X17" i="17" a="1"/>
  <c r="X17" i="17" s="1"/>
  <c r="Y17" i="17" s="1"/>
  <c r="X18" i="17" a="1"/>
  <c r="X18" i="17" s="1"/>
  <c r="Y18" i="17" s="1"/>
  <c r="X19" i="17" a="1"/>
  <c r="X19" i="17" s="1"/>
  <c r="Y19" i="17" s="1"/>
  <c r="X20" i="17" a="1"/>
  <c r="X20" i="17" s="1"/>
  <c r="Y20" i="17" s="1"/>
  <c r="X21" i="17" a="1"/>
  <c r="X21" i="17" s="1"/>
  <c r="Y21" i="17" s="1"/>
  <c r="X22" i="17" a="1"/>
  <c r="X22" i="17" s="1"/>
  <c r="Y22" i="17" s="1"/>
  <c r="X23" i="17" a="1"/>
  <c r="X23" i="17" s="1"/>
  <c r="Y23" i="17" s="1"/>
  <c r="X24" i="17" a="1"/>
  <c r="X24" i="17" s="1"/>
  <c r="Y24" i="17" s="1"/>
  <c r="X25" i="17" a="1"/>
  <c r="X25" i="17" s="1"/>
  <c r="Y25" i="17" s="1"/>
  <c r="G2" i="16"/>
  <c r="G3" i="16"/>
  <c r="K13" i="20" l="1" a="1"/>
  <c r="K13" i="20" s="1"/>
  <c r="L9" i="20" a="1"/>
  <c r="L9" i="20" s="1"/>
  <c r="N9" i="20" s="1"/>
  <c r="K2" i="20" a="1"/>
  <c r="K2" i="20" s="1"/>
  <c r="L12" i="20" a="1"/>
  <c r="L12" i="20" s="1"/>
  <c r="N12" i="20" s="1"/>
  <c r="L4" i="20" a="1"/>
  <c r="L4" i="20" s="1"/>
  <c r="N4" i="20" s="1"/>
  <c r="L10" i="20" a="1"/>
  <c r="L10" i="20" s="1"/>
  <c r="L2" i="20" a="1"/>
  <c r="L2" i="20" s="1"/>
  <c r="L8" i="20" a="1"/>
  <c r="L8" i="20" s="1"/>
  <c r="K16" i="20" a="1"/>
  <c r="K16" i="20" s="1"/>
  <c r="N10" i="20"/>
  <c r="N14" i="20"/>
  <c r="N6" i="20"/>
  <c r="N16" i="20"/>
  <c r="N8" i="20"/>
  <c r="N2" i="20"/>
  <c r="L11" i="20" a="1"/>
  <c r="L11" i="20" s="1"/>
  <c r="N11" i="20" s="1"/>
  <c r="L3" i="20" a="1"/>
  <c r="L3" i="20" s="1"/>
  <c r="N3" i="20" s="1"/>
  <c r="K17" i="20" a="1"/>
  <c r="K17" i="20" s="1"/>
  <c r="K11" i="20" a="1"/>
  <c r="K11" i="20" s="1"/>
  <c r="K9" i="20" a="1"/>
  <c r="K9" i="20" s="1"/>
  <c r="K3" i="20" a="1"/>
  <c r="K3" i="20" s="1"/>
  <c r="L17" i="20" a="1"/>
  <c r="L17" i="20" s="1"/>
  <c r="N17" i="20" s="1"/>
  <c r="L15" i="20" a="1"/>
  <c r="L15" i="20" s="1"/>
  <c r="N15" i="20" s="1"/>
  <c r="L13" i="20" a="1"/>
  <c r="L13" i="20" s="1"/>
  <c r="N13" i="20" s="1"/>
  <c r="L7" i="20" a="1"/>
  <c r="L7" i="20" s="1"/>
  <c r="N7" i="20" s="1"/>
  <c r="L5" i="20" a="1"/>
  <c r="L5" i="20" s="1"/>
  <c r="N5" i="20" s="1"/>
  <c r="K15" i="20" a="1"/>
  <c r="K15" i="20" s="1"/>
  <c r="K7" i="20" a="1"/>
  <c r="K7" i="20" s="1"/>
  <c r="K5" i="20" a="1"/>
  <c r="K5" i="20" s="1"/>
  <c r="K12" i="20" a="1"/>
  <c r="K12" i="20" s="1"/>
  <c r="K10" i="20" a="1"/>
  <c r="K10" i="20" s="1"/>
  <c r="K8" i="20" a="1"/>
  <c r="K8" i="20" s="1"/>
  <c r="K6" i="20" a="1"/>
  <c r="K6" i="20" s="1"/>
  <c r="K4" i="20" a="1"/>
  <c r="K4" i="20" s="1"/>
  <c r="R20" i="18"/>
  <c r="U20" i="18"/>
  <c r="R16" i="18"/>
  <c r="U16" i="18"/>
  <c r="R12" i="18"/>
  <c r="U12" i="18"/>
  <c r="R8" i="18"/>
  <c r="U8" i="18"/>
  <c r="R4" i="18"/>
  <c r="U4" i="18"/>
  <c r="R19" i="18"/>
  <c r="U19" i="18"/>
  <c r="R11" i="18"/>
  <c r="U11" i="18"/>
  <c r="R3" i="18"/>
  <c r="U3" i="18"/>
  <c r="R15" i="18"/>
  <c r="U15" i="18"/>
  <c r="R7" i="18"/>
  <c r="U7" i="18"/>
  <c r="R22" i="18"/>
  <c r="U22" i="18"/>
  <c r="R18" i="18"/>
  <c r="U18" i="18"/>
  <c r="R14" i="18"/>
  <c r="U14" i="18"/>
  <c r="R10" i="18"/>
  <c r="U10" i="18"/>
  <c r="R6" i="18"/>
  <c r="U6" i="18"/>
  <c r="R2" i="18"/>
  <c r="U2" i="18"/>
  <c r="R21" i="18"/>
  <c r="U21" i="18"/>
  <c r="R17" i="18"/>
  <c r="U17" i="18"/>
  <c r="R13" i="18"/>
  <c r="U13" i="18"/>
  <c r="R9" i="18"/>
  <c r="U9" i="18"/>
  <c r="R5" i="18"/>
  <c r="U5" i="18"/>
  <c r="S21" i="17" a="1"/>
  <c r="S21" i="17" s="1"/>
  <c r="S17" i="17" a="1"/>
  <c r="S17" i="17" s="1"/>
  <c r="R18" i="17" a="1"/>
  <c r="R18" i="17" s="1"/>
  <c r="R9" i="17" a="1"/>
  <c r="R9" i="17" s="1"/>
  <c r="N2" i="17" a="1"/>
  <c r="N2" i="17" s="1"/>
  <c r="O5" i="17" a="1"/>
  <c r="O5" i="17" s="1"/>
  <c r="N13" i="17" a="1"/>
  <c r="N13" i="17" s="1"/>
  <c r="O17" i="17" a="1"/>
  <c r="O17" i="17" s="1"/>
  <c r="N25" i="17" a="1"/>
  <c r="N25" i="17" s="1"/>
  <c r="N9" i="17" a="1"/>
  <c r="N9" i="17" s="1"/>
  <c r="N21" i="17" a="1"/>
  <c r="N21" i="17" s="1"/>
  <c r="N5" i="17" a="1"/>
  <c r="N5" i="17" s="1"/>
  <c r="Q21" i="17"/>
  <c r="Q13" i="17"/>
  <c r="Q5" i="17"/>
  <c r="T18" i="17" a="1"/>
  <c r="T18" i="17" s="1"/>
  <c r="T16" i="17" a="1"/>
  <c r="T16" i="17" s="1"/>
  <c r="T13" i="17" a="1"/>
  <c r="T13" i="17" s="1"/>
  <c r="T10" i="17" a="1"/>
  <c r="T10" i="17" s="1"/>
  <c r="T7" i="17" a="1"/>
  <c r="T7" i="17" s="1"/>
  <c r="S24" i="17" a="1"/>
  <c r="S24" i="17" s="1"/>
  <c r="S18" i="17" a="1"/>
  <c r="S18" i="17" s="1"/>
  <c r="S15" i="17" a="1"/>
  <c r="S15" i="17" s="1"/>
  <c r="S8" i="17" a="1"/>
  <c r="S8" i="17" s="1"/>
  <c r="S5" i="17" a="1"/>
  <c r="S5" i="17" s="1"/>
  <c r="S2" i="17" a="1"/>
  <c r="S2" i="17" s="1"/>
  <c r="R23" i="17" a="1"/>
  <c r="R23" i="17" s="1"/>
  <c r="R16" i="17" a="1"/>
  <c r="R16" i="17" s="1"/>
  <c r="R13" i="17" a="1"/>
  <c r="R13" i="17" s="1"/>
  <c r="R10" i="17" a="1"/>
  <c r="R10" i="17" s="1"/>
  <c r="R7" i="17" a="1"/>
  <c r="R7" i="17" s="1"/>
  <c r="O24" i="17" a="1"/>
  <c r="O24" i="17" s="1"/>
  <c r="O20" i="17" a="1"/>
  <c r="O20" i="17" s="1"/>
  <c r="Q20" i="17" s="1"/>
  <c r="O16" i="17" a="1"/>
  <c r="O16" i="17" s="1"/>
  <c r="O12" i="17" a="1"/>
  <c r="O12" i="17" s="1"/>
  <c r="Q12" i="17" s="1"/>
  <c r="O8" i="17" a="1"/>
  <c r="O8" i="17" s="1"/>
  <c r="Q8" i="17" s="1"/>
  <c r="O4" i="17" a="1"/>
  <c r="O4" i="17" s="1"/>
  <c r="N24" i="17" a="1"/>
  <c r="N24" i="17" s="1"/>
  <c r="N20" i="17" a="1"/>
  <c r="N20" i="17" s="1"/>
  <c r="N16" i="17" a="1"/>
  <c r="N16" i="17" s="1"/>
  <c r="N12" i="17" a="1"/>
  <c r="N12" i="17" s="1"/>
  <c r="N8" i="17" a="1"/>
  <c r="N8" i="17" s="1"/>
  <c r="N4" i="17" a="1"/>
  <c r="N4" i="17" s="1"/>
  <c r="Q25" i="17"/>
  <c r="Q17" i="17"/>
  <c r="Q9" i="17"/>
  <c r="Q24" i="17"/>
  <c r="Q16" i="17"/>
  <c r="Q4" i="17"/>
  <c r="U10" i="17" a="1"/>
  <c r="U10" i="17" s="1"/>
  <c r="T12" i="17" a="1"/>
  <c r="T12" i="17" s="1"/>
  <c r="T9" i="17" a="1"/>
  <c r="T9" i="17" s="1"/>
  <c r="T6" i="17" a="1"/>
  <c r="T6" i="17" s="1"/>
  <c r="T3" i="17" a="1"/>
  <c r="T3" i="17" s="1"/>
  <c r="S20" i="17" a="1"/>
  <c r="S20" i="17" s="1"/>
  <c r="S14" i="17" a="1"/>
  <c r="S14" i="17" s="1"/>
  <c r="S11" i="17" a="1"/>
  <c r="S11" i="17" s="1"/>
  <c r="S4" i="17" a="1"/>
  <c r="S4" i="17" s="1"/>
  <c r="R22" i="17" a="1"/>
  <c r="R22" i="17" s="1"/>
  <c r="R19" i="17" a="1"/>
  <c r="R19" i="17" s="1"/>
  <c r="R12" i="17" a="1"/>
  <c r="R12" i="17" s="1"/>
  <c r="R6" i="17" a="1"/>
  <c r="R6" i="17" s="1"/>
  <c r="R3" i="17" a="1"/>
  <c r="R3" i="17" s="1"/>
  <c r="O23" i="17" a="1"/>
  <c r="O23" i="17" s="1"/>
  <c r="Q23" i="17" s="1"/>
  <c r="O19" i="17" a="1"/>
  <c r="O19" i="17" s="1"/>
  <c r="Q19" i="17" s="1"/>
  <c r="O15" i="17" a="1"/>
  <c r="O15" i="17" s="1"/>
  <c r="O11" i="17" a="1"/>
  <c r="O11" i="17" s="1"/>
  <c r="Q11" i="17" s="1"/>
  <c r="O7" i="17" a="1"/>
  <c r="O7" i="17" s="1"/>
  <c r="Q7" i="17" s="1"/>
  <c r="O3" i="17" a="1"/>
  <c r="O3" i="17" s="1"/>
  <c r="Q3" i="17" s="1"/>
  <c r="N23" i="17" a="1"/>
  <c r="N23" i="17" s="1"/>
  <c r="N19" i="17" a="1"/>
  <c r="N19" i="17" s="1"/>
  <c r="N15" i="17" a="1"/>
  <c r="N15" i="17" s="1"/>
  <c r="N11" i="17" a="1"/>
  <c r="N11" i="17" s="1"/>
  <c r="N7" i="17" a="1"/>
  <c r="N7" i="17" s="1"/>
  <c r="N3" i="17" a="1"/>
  <c r="N3" i="17" s="1"/>
  <c r="Q15" i="17"/>
  <c r="R15" i="17" a="1"/>
  <c r="R15" i="17" s="1"/>
  <c r="R8" i="17" a="1"/>
  <c r="R8" i="17" s="1"/>
  <c r="R5" i="17" a="1"/>
  <c r="R5" i="17" s="1"/>
  <c r="R2" i="17" a="1"/>
  <c r="R2" i="17" s="1"/>
  <c r="O22" i="17" a="1"/>
  <c r="O22" i="17" s="1"/>
  <c r="Q22" i="17" s="1"/>
  <c r="O18" i="17" a="1"/>
  <c r="O18" i="17" s="1"/>
  <c r="Q18" i="17" s="1"/>
  <c r="O14" i="17" a="1"/>
  <c r="O14" i="17" s="1"/>
  <c r="Q14" i="17" s="1"/>
  <c r="O10" i="17" a="1"/>
  <c r="O10" i="17" s="1"/>
  <c r="Q10" i="17" s="1"/>
  <c r="O6" i="17" a="1"/>
  <c r="O6" i="17" s="1"/>
  <c r="Q6" i="17" s="1"/>
  <c r="O2" i="17" a="1"/>
  <c r="O2" i="17" s="1"/>
  <c r="Q2" i="17" s="1"/>
  <c r="N22" i="17" a="1"/>
  <c r="N22" i="17" s="1"/>
  <c r="N18" i="17" a="1"/>
  <c r="N18" i="17" s="1"/>
  <c r="N14" i="17" a="1"/>
  <c r="N14" i="17" s="1"/>
  <c r="N10" i="17" a="1"/>
  <c r="N10" i="17" s="1"/>
  <c r="N6" i="17" a="1"/>
  <c r="N6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arena simulation models\finalprojectsimulation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arena simulation models\finalprojectsimulation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arena simulation models\finalprojectsimulation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arena simulation models\finalprojectsimulation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arena simulation models\finalprojectsimulation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arena simulation models\finalprojectsimulation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<sst xmlns="http://schemas.openxmlformats.org/spreadsheetml/2006/main" count="643" uniqueCount="125">
  <si>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</si>
  <si>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</si>
  <si>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</si>
  <si>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</si>
  <si>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</si>
  <si>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</si>
  <si>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</si>
  <si>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</si>
  <si>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</si>
  <si>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</si>
  <si>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</si>
  <si>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</si>
  <si>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</si>
  <si>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</si>
  <si>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</si>
  <si>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</si>
  <si>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</si>
  <si>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</si>
  <si>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</si>
  <si>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</si>
  <si>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</si>
  <si>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</si>
  <si>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</si>
  <si>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</si>
  <si>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</si>
  <si>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</si>
  <si>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</si>
  <si>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</si>
  <si>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</si>
  <si>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</si>
  <si>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</si>
  <si>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</si>
  <si>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</si>
  <si>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</si>
  <si>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</si>
  <si>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</si>
  <si>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</si>
  <si>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</si>
  <si>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</si>
  <si>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</si>
  <si>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</si>
  <si>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</si>
  <si>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</si>
  <si>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</si>
  <si>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</si>
  <si>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</si>
  <si>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</si>
  <si>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</si>
  <si>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</si>
  <si>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</si>
  <si>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</si>
  <si>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</si>
  <si>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</si>
  <si>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</si>
  <si>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</si>
  <si>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</si>
  <si>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</si>
  <si>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</si>
  <si>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</si>
  <si>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</si>
  <si>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</si>
  <si>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</si>
  <si>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</si>
  <si>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</si>
  <si>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</si>
  <si>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</si>
  <si>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</si>
  <si>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</si>
  <si>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</si>
  <si>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CSE10L-Final_Project</t>
  </si>
  <si>
    <t>C:\Arena Simulation Models\FinalProjectSimulation.p</t>
  </si>
  <si>
    <t>2024-10-06 23:26:05</t>
  </si>
  <si>
    <t>2024-10-02 13:52:08</t>
  </si>
  <si>
    <t>Process boarding and travel by Bus Off Peak.Queue</t>
  </si>
  <si>
    <t>Waiting Time</t>
  </si>
  <si>
    <t>Queue</t>
  </si>
  <si>
    <t>Process boarding and travel by Bus Peak.Queue</t>
  </si>
  <si>
    <t>Process boarding and travel by Jeepney Off Peak.Queue</t>
  </si>
  <si>
    <t>Process boarding and travel by Jeepney Peak.Queue</t>
  </si>
  <si>
    <t>Student Off Peak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</si>
  <si>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</si>
  <si>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</si>
  <si>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</si>
  <si>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</si>
  <si>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</si>
  <si>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</si>
  <si>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</si>
  <si>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Student Peak</t>
  </si>
  <si>
    <t>Tally Bus Boarding Off Peak</t>
  </si>
  <si>
    <t>Interval</t>
  </si>
  <si>
    <t>User Specified</t>
  </si>
  <si>
    <t>Tally Bus Boarding Peak</t>
  </si>
  <si>
    <t>Tally Bus Travel Off Peak</t>
  </si>
  <si>
    <t>Tally Bus Travel Peak</t>
  </si>
  <si>
    <t>Tally Jeepney Boarding Off Peak</t>
  </si>
  <si>
    <t>Tally Jeepney Boarding Peak</t>
  </si>
  <si>
    <t>Tally Jeepney Travel Off Peak</t>
  </si>
  <si>
    <t>Tally Jeepney Travel Peak</t>
  </si>
  <si>
    <t>Bus</t>
  </si>
  <si>
    <t>Instantaneous Utilization</t>
  </si>
  <si>
    <t>Resource</t>
  </si>
  <si>
    <t>Number Busy</t>
  </si>
  <si>
    <t>Number Scheduled</t>
  </si>
  <si>
    <t>Jeepney</t>
  </si>
  <si>
    <t>Number Waiting</t>
  </si>
  <si>
    <t>Process boarding and travel by Bus.Queue</t>
  </si>
  <si>
    <t>Process boarding and travel by Jeepney.Queue</t>
  </si>
  <si>
    <t>Student 1</t>
  </si>
  <si>
    <t>WIP</t>
  </si>
  <si>
    <t>Bus.NumberSeized</t>
  </si>
  <si>
    <t>Total Number Seized</t>
  </si>
  <si>
    <t>Bus.ScheduledUtilization</t>
  </si>
  <si>
    <t>Scheduled Utilization</t>
  </si>
  <si>
    <t>Jeepney.NumberSeized</t>
  </si>
  <si>
    <t>Jeepney.ScheduledUtilization</t>
  </si>
  <si>
    <t>Student 1.NumberIn</t>
  </si>
  <si>
    <t>Number In</t>
  </si>
  <si>
    <t>Student 1.NumberOut</t>
  </si>
  <si>
    <t>Number Out</t>
  </si>
  <si>
    <t>Student Off Peak.NumberIn</t>
  </si>
  <si>
    <t>Student Off Peak.NumberOut</t>
  </si>
  <si>
    <t>Student Peak.NumberIn</t>
  </si>
  <si>
    <t>Student Peak.NumberOut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</si>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</sst>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nor" refreshedDate="45571.987138310185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nor" refreshedDate="45571.987138425924" createdVersion="7" refreshedVersion="8" minRefreshableVersion="3" recordCount="21" xr:uid="{98BDAE34-4484-421D-B96E-804CE77A1811}">
  <cacheSource type="worksheet">
    <worksheetSource name="ContinuousStatsTable"/>
  </cacheSource>
  <cacheFields count="21">
    <cacheField name="ProjectName" numFmtId="0">
      <sharedItems containsBlank="1" count="5">
        <s v="Unnamed Project"/>
        <s v="CSE10L-Final_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5">
        <s v="Bus"/>
        <s v="Jeepney"/>
        <s v="Process boarding and travel by Bus Off Peak.Queue"/>
        <s v="Process boarding and travel by Bus Peak.Queue"/>
        <s v="Process boarding and travel by Bus.Queue"/>
        <s v="Process boarding and travel by Jeepney Off Peak.Queue"/>
        <s v="Process boarding and travel by Jeepney Peak.Queue"/>
        <s v="Process boarding and travel by Jeepney.Queue"/>
        <s v="Student 1"/>
        <s v="Student Off Peak"/>
        <s v="Student Peak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44"/>
    </cacheField>
    <cacheField name="BatchMeansHalfWidth" numFmtId="0">
      <sharedItems containsSemiMixedTypes="0" containsString="0" containsNumber="1" minValue="2.9755478368961499E-3" maxValue="3E+20"/>
    </cacheField>
    <cacheField name="Minimum" numFmtId="0">
      <sharedItems containsSemiMixedTypes="0" containsString="0" containsNumber="1" containsInteger="1" minValue="0" maxValue="44"/>
    </cacheField>
    <cacheField name="Maximum" numFmtId="0">
      <sharedItems containsSemiMixedTypes="0" containsString="0" containsNumber="1" minValue="0" maxValue="59"/>
    </cacheField>
    <cacheField name="LastRecordedValue" numFmtId="0">
      <sharedItems containsSemiMixedTypes="0" containsString="0" containsNumber="1" minValue="0" maxValue="4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44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44"/>
    </cacheField>
    <cacheField name="MaximumAverage" numFmtId="0">
      <sharedItems containsSemiMixedTypes="0" containsString="0" containsNumber="1" minValue="0" maxValue="44"/>
    </cacheField>
    <cacheField name="SummaryHalfWidth" numFmtId="0">
      <sharedItems containsSemiMixedTypes="0" containsString="0" containsNumber="1" minValue="2.9755478368961499E-3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nor" refreshedDate="45571.987138657409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nor" refreshedDate="45571.987138773147" createdVersion="7" refreshedVersion="8" minRefreshableVersion="3" recordCount="24" xr:uid="{B84A8B69-002E-494F-8DC0-5D2F7796C835}">
  <cacheSource type="worksheet">
    <worksheetSource name="DiscreteStatsTable"/>
  </cacheSource>
  <cacheFields count="25">
    <cacheField name="ProjectName" numFmtId="0">
      <sharedItems containsBlank="1" count="5">
        <s v="CSE10L-Final_Project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13">
        <s v="Process boarding and travel by Bus Off Peak.Queue"/>
        <s v="Process boarding and travel by Bus Peak.Queue"/>
        <s v="Process boarding and travel by Jeepney Off Peak.Queue"/>
        <s v="Process boarding and travel by Jeepney Peak.Queue"/>
        <s v="Student Off Peak"/>
        <s v="Student Peak"/>
        <s v="Tally Bus Boarding Off Peak"/>
        <s v="Tally Bus Boarding Peak"/>
        <s v="Tally Bus Travel Off Peak"/>
        <s v="Tally Bus Travel Peak"/>
        <s v="Tally Jeepney Boarding Off Peak"/>
        <s v="Tally Jeepney Boarding Peak"/>
        <s v="Tally Jeepney Travel Off Peak"/>
        <s v="Tally Jeepney Travel Peak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s v="Interval"/>
        <m u="1"/>
        <s v="Total Time Per Entity" u="1"/>
        <s v="VA Time Per Entity" u="1"/>
        <s v="Wait Time Per Entity" u="1"/>
      </sharedItems>
    </cacheField>
    <cacheField name="Source" numFmtId="0">
      <sharedItems containsBlank="1" count="5">
        <s v="Queue"/>
        <s v="Entity"/>
        <s v="User Specified"/>
        <m u="1"/>
        <s v="Process" u="1"/>
      </sharedItems>
    </cacheField>
    <cacheField name="Average" numFmtId="0">
      <sharedItems containsSemiMixedTypes="0" containsString="0" containsNumber="1" minValue="0" maxValue="0.95117007410034704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0.50732583800881104"/>
    </cacheField>
    <cacheField name="Maximum" numFmtId="0">
      <sharedItems containsSemiMixedTypes="0" containsString="0" containsNumber="1" minValue="0" maxValue="2.3834786956999801"/>
    </cacheField>
    <cacheField name="NumberObservations" numFmtId="0">
      <sharedItems containsSemiMixedTypes="0" containsString="0" containsNumber="1" containsInteger="1" minValue="549" maxValue="23012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0.95117007410034704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0.95117007410034704"/>
    </cacheField>
    <cacheField name="MaximumAverage" numFmtId="0">
      <sharedItems containsSemiMixedTypes="0" containsString="0" containsNumber="1" minValue="0" maxValue="0.95117007410034704"/>
    </cacheField>
    <cacheField name="OverallMinimum" numFmtId="0">
      <sharedItems containsSemiMixedTypes="0" containsString="0" containsNumber="1" minValue="0" maxValue="0.50732583800881104"/>
    </cacheField>
    <cacheField name="OverallMaximum" numFmtId="0">
      <sharedItems containsSemiMixedTypes="0" containsString="0" containsNumber="1" minValue="0" maxValue="2.3834786956999801"/>
    </cacheField>
    <cacheField name="AverageNumberObservations" numFmtId="0">
      <sharedItems containsSemiMixedTypes="0" containsString="0" containsNumber="1" containsInteger="1" minValue="549" maxValue="23012"/>
    </cacheField>
    <cacheField name="SummaryHalfWidth" numFmtId="0">
      <sharedItems containsSemiMixedTypes="0" containsString="0" containsNumber="1" minValue="0" maxValue="3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nor" refreshedDate="45571.987139004632" createdVersion="7" refreshedVersion="8" minRefreshableVersion="3" recordCount="16" xr:uid="{CD99054F-849B-4F05-A210-6C45A1A34EDA}">
  <cacheSource type="worksheet">
    <worksheetSource name="OutputTable"/>
  </cacheSource>
  <cacheFields count="16">
    <cacheField name="ProjectName" numFmtId="0">
      <sharedItems containsBlank="1" count="5">
        <s v="Unnamed Project"/>
        <s v="CSE10L-Final_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9">
        <s v="Bus.NumberSeized"/>
        <s v="Bus.ScheduledUtilization"/>
        <s v="Jeepney.NumberSeized"/>
        <s v="Jeepney.ScheduledUtilization"/>
        <s v="Student 1.NumberIn"/>
        <s v="Student 1.NumberOut"/>
        <s v="Student Off Peak.NumberIn"/>
        <s v="Student Off Peak.NumberOut"/>
        <s v="Student Peak.NumberIn"/>
        <s v="Student Peak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" maxValue="2845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" maxValue="28458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" maxValue="28458"/>
    </cacheField>
    <cacheField name="Maximum" numFmtId="0">
      <sharedItems containsSemiMixedTypes="0" containsString="0" containsNumber="1" minValue="0" maxValue="284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s v="2024-10-02 13:52:08"/>
    <n v="1"/>
    <x v="0"/>
    <x v="0"/>
    <x v="0"/>
    <n v="0"/>
    <n v="2E+20"/>
    <n v="0"/>
    <n v="0"/>
    <n v="0"/>
    <n v="0"/>
    <s v="Unnamed ProjectBusInstantaneous UtilizationResource"/>
    <n v="1"/>
    <n v="0"/>
    <n v="0"/>
    <n v="0.95"/>
    <n v="4E+20"/>
    <n v="0"/>
    <n v="0"/>
    <n v="2E+20"/>
  </r>
  <r>
    <x v="1"/>
    <s v="2024-10-06 23:26:05"/>
    <n v="1"/>
    <x v="0"/>
    <x v="0"/>
    <x v="0"/>
    <n v="6.39227122584618E-2"/>
    <n v="2.9755478368961499E-3"/>
    <n v="0"/>
    <n v="0.25"/>
    <n v="4.5454545454545497E-2"/>
    <n v="0"/>
    <s v="CSE10L-Final_ProjectBusInstantaneous UtilizationResource"/>
    <n v="1"/>
    <n v="6.39227122584618E-2"/>
    <n v="0"/>
    <n v="0.95"/>
    <n v="4E+20"/>
    <n v="6.39227122584618E-2"/>
    <n v="6.39227122584618E-2"/>
    <n v="2.9755478368961499E-3"/>
  </r>
  <r>
    <x v="0"/>
    <s v="2024-10-02 13:52:08"/>
    <n v="1"/>
    <x v="0"/>
    <x v="1"/>
    <x v="0"/>
    <n v="0"/>
    <n v="2E+20"/>
    <n v="0"/>
    <n v="0"/>
    <n v="0"/>
    <n v="0"/>
    <s v="Unnamed ProjectBusNumber BusyResource"/>
    <n v="1"/>
    <n v="0"/>
    <n v="0"/>
    <n v="0.95"/>
    <n v="4E+20"/>
    <n v="0"/>
    <n v="0"/>
    <n v="2E+20"/>
  </r>
  <r>
    <x v="1"/>
    <s v="2024-10-06 23:26:05"/>
    <n v="1"/>
    <x v="0"/>
    <x v="1"/>
    <x v="0"/>
    <n v="2.8125993393723299"/>
    <n v="0.13092410482343"/>
    <n v="0"/>
    <n v="11"/>
    <n v="2"/>
    <n v="0"/>
    <s v="CSE10L-Final_ProjectBusNumber BusyResource"/>
    <n v="1"/>
    <n v="2.8125993393723299"/>
    <n v="0"/>
    <n v="0.95"/>
    <n v="4E+20"/>
    <n v="2.8125993393723299"/>
    <n v="2.8125993393723299"/>
    <n v="0.13092410482343"/>
  </r>
  <r>
    <x v="0"/>
    <s v="2024-10-02 13:52:08"/>
    <n v="1"/>
    <x v="0"/>
    <x v="2"/>
    <x v="0"/>
    <n v="0"/>
    <n v="2E+20"/>
    <n v="44"/>
    <n v="44"/>
    <n v="44"/>
    <n v="0"/>
    <s v="Unnamed ProjectBusNumber ScheduledResource"/>
    <n v="1"/>
    <n v="0"/>
    <n v="0"/>
    <n v="0.95"/>
    <n v="4E+20"/>
    <n v="0"/>
    <n v="0"/>
    <n v="2E+20"/>
  </r>
  <r>
    <x v="1"/>
    <s v="2024-10-06 23:26:05"/>
    <n v="1"/>
    <x v="0"/>
    <x v="2"/>
    <x v="0"/>
    <n v="44"/>
    <n v="2E+20"/>
    <n v="44"/>
    <n v="44"/>
    <n v="44"/>
    <n v="0"/>
    <s v="CSE10L-Final_ProjectBusNumber ScheduledResource"/>
    <n v="1"/>
    <n v="44"/>
    <n v="0"/>
    <n v="0.95"/>
    <n v="4E+20"/>
    <n v="44"/>
    <n v="44"/>
    <n v="2E+20"/>
  </r>
  <r>
    <x v="0"/>
    <s v="2024-10-02 13:52:08"/>
    <n v="1"/>
    <x v="1"/>
    <x v="0"/>
    <x v="0"/>
    <n v="0"/>
    <n v="2E+20"/>
    <n v="0"/>
    <n v="0"/>
    <n v="0"/>
    <n v="0"/>
    <s v="Unnamed ProjectJeepneyInstantaneous UtilizationResource"/>
    <n v="1"/>
    <n v="0"/>
    <n v="0"/>
    <n v="0.95"/>
    <n v="4E+20"/>
    <n v="0"/>
    <n v="0"/>
    <n v="2E+20"/>
  </r>
  <r>
    <x v="1"/>
    <s v="2024-10-06 23:26:05"/>
    <n v="1"/>
    <x v="1"/>
    <x v="0"/>
    <x v="0"/>
    <n v="0.991032449588788"/>
    <n v="4.6088736662708097E-3"/>
    <n v="0"/>
    <n v="1"/>
    <n v="1"/>
    <n v="0"/>
    <s v="CSE10L-Final_ProjectJeepneyInstantaneous UtilizationResource"/>
    <n v="1"/>
    <n v="0.991032449588788"/>
    <n v="0"/>
    <n v="0.95"/>
    <n v="4E+20"/>
    <n v="0.991032449588788"/>
    <n v="0.991032449588788"/>
    <n v="4.6088736662708097E-3"/>
  </r>
  <r>
    <x v="0"/>
    <s v="2024-10-02 13:52:08"/>
    <n v="1"/>
    <x v="1"/>
    <x v="1"/>
    <x v="0"/>
    <n v="0"/>
    <n v="2E+20"/>
    <n v="0"/>
    <n v="0"/>
    <n v="0"/>
    <n v="0"/>
    <s v="Unnamed ProjectJeepneyNumber BusyResource"/>
    <n v="1"/>
    <n v="0"/>
    <n v="0"/>
    <n v="0.95"/>
    <n v="4E+20"/>
    <n v="0"/>
    <n v="0"/>
    <n v="2E+20"/>
  </r>
  <r>
    <x v="1"/>
    <s v="2024-10-06 23:26:05"/>
    <n v="1"/>
    <x v="1"/>
    <x v="1"/>
    <x v="0"/>
    <n v="17.838584092598101"/>
    <n v="8.2959725992874406E-2"/>
    <n v="0"/>
    <n v="18"/>
    <n v="18"/>
    <n v="0"/>
    <s v="CSE10L-Final_ProjectJeepneyNumber BusyResource"/>
    <n v="1"/>
    <n v="17.838584092598101"/>
    <n v="0"/>
    <n v="0.95"/>
    <n v="4E+20"/>
    <n v="17.838584092598101"/>
    <n v="17.838584092598101"/>
    <n v="8.2959725992874406E-2"/>
  </r>
  <r>
    <x v="0"/>
    <s v="2024-10-02 13:52:08"/>
    <n v="1"/>
    <x v="1"/>
    <x v="2"/>
    <x v="0"/>
    <n v="0"/>
    <n v="2E+20"/>
    <n v="18"/>
    <n v="18"/>
    <n v="18"/>
    <n v="0"/>
    <s v="Unnamed ProjectJeepneyNumber ScheduledResource"/>
    <n v="1"/>
    <n v="0"/>
    <n v="0"/>
    <n v="0.95"/>
    <n v="4E+20"/>
    <n v="0"/>
    <n v="0"/>
    <n v="2E+20"/>
  </r>
  <r>
    <x v="1"/>
    <s v="2024-10-06 23:26:05"/>
    <n v="1"/>
    <x v="1"/>
    <x v="2"/>
    <x v="0"/>
    <n v="18"/>
    <n v="2E+20"/>
    <n v="18"/>
    <n v="18"/>
    <n v="18"/>
    <n v="0"/>
    <s v="CSE10L-Final_ProjectJeepneyNumber ScheduledResource"/>
    <n v="1"/>
    <n v="18"/>
    <n v="0"/>
    <n v="0.95"/>
    <n v="4E+20"/>
    <n v="18"/>
    <n v="18"/>
    <n v="2E+20"/>
  </r>
  <r>
    <x v="1"/>
    <s v="2024-10-06 23:26:05"/>
    <n v="1"/>
    <x v="2"/>
    <x v="3"/>
    <x v="1"/>
    <n v="0"/>
    <n v="2E+20"/>
    <n v="0"/>
    <n v="0"/>
    <n v="0"/>
    <n v="0"/>
    <s v="CSE10L-Final_ProjectProcess boarding and travel by Bus Off Peak.QueueNumber WaitingQueue"/>
    <n v="1"/>
    <n v="0"/>
    <n v="0"/>
    <n v="0.95"/>
    <n v="4E+20"/>
    <n v="0"/>
    <n v="0"/>
    <n v="2E+20"/>
  </r>
  <r>
    <x v="1"/>
    <s v="2024-10-06 23:26:05"/>
    <n v="1"/>
    <x v="3"/>
    <x v="3"/>
    <x v="1"/>
    <n v="0"/>
    <n v="2E+20"/>
    <n v="0"/>
    <n v="0"/>
    <n v="0"/>
    <n v="0"/>
    <s v="CSE10L-Final_ProjectProcess boarding and travel by Bus Peak.QueueNumber WaitingQueue"/>
    <n v="1"/>
    <n v="0"/>
    <n v="0"/>
    <n v="0.95"/>
    <n v="4E+20"/>
    <n v="0"/>
    <n v="0"/>
    <n v="2E+20"/>
  </r>
  <r>
    <x v="0"/>
    <s v="2024-10-02 13:52:08"/>
    <n v="1"/>
    <x v="4"/>
    <x v="3"/>
    <x v="1"/>
    <n v="0"/>
    <n v="2E+20"/>
    <n v="0"/>
    <n v="0"/>
    <n v="0"/>
    <n v="0"/>
    <s v="Unnamed ProjectProcess boarding and travel by Bus.QueueNumber WaitingQueue"/>
    <n v="1"/>
    <n v="0"/>
    <n v="0"/>
    <n v="0.95"/>
    <n v="4E+20"/>
    <n v="0"/>
    <n v="0"/>
    <n v="2E+20"/>
  </r>
  <r>
    <x v="1"/>
    <s v="2024-10-06 23:26:05"/>
    <n v="1"/>
    <x v="5"/>
    <x v="3"/>
    <x v="1"/>
    <n v="2.53322317433416"/>
    <n v="3E+20"/>
    <n v="0"/>
    <n v="14"/>
    <n v="1"/>
    <n v="0"/>
    <s v="CSE10L-Final_ProjectProcess boarding and travel by Jeepney Off Peak.QueueNumber WaitingQueue"/>
    <n v="1"/>
    <n v="2.53322317433416"/>
    <n v="0"/>
    <n v="0.95"/>
    <n v="4E+20"/>
    <n v="2.53322317433416"/>
    <n v="2.53322317433416"/>
    <n v="3E+20"/>
  </r>
  <r>
    <x v="1"/>
    <s v="2024-10-06 23:26:05"/>
    <n v="1"/>
    <x v="6"/>
    <x v="3"/>
    <x v="1"/>
    <n v="10.5052248112972"/>
    <n v="3E+20"/>
    <n v="0"/>
    <n v="40"/>
    <n v="3"/>
    <n v="0"/>
    <s v="CSE10L-Final_ProjectProcess boarding and travel by Jeepney Peak.QueueNumber WaitingQueue"/>
    <n v="1"/>
    <n v="10.5052248112972"/>
    <n v="0"/>
    <n v="0.95"/>
    <n v="4E+20"/>
    <n v="10.5052248112972"/>
    <n v="10.5052248112972"/>
    <n v="3E+20"/>
  </r>
  <r>
    <x v="0"/>
    <s v="2024-10-02 13:52:08"/>
    <n v="1"/>
    <x v="7"/>
    <x v="3"/>
    <x v="1"/>
    <n v="0"/>
    <n v="2E+20"/>
    <n v="0"/>
    <n v="0"/>
    <n v="0"/>
    <n v="0"/>
    <s v="Unnamed ProjectProcess boarding and travel by Jeepney.QueueNumber WaitingQueue"/>
    <n v="1"/>
    <n v="0"/>
    <n v="0"/>
    <n v="0.95"/>
    <n v="4E+20"/>
    <n v="0"/>
    <n v="0"/>
    <n v="2E+20"/>
  </r>
  <r>
    <x v="0"/>
    <s v="2024-10-02 13:52:08"/>
    <n v="1"/>
    <x v="8"/>
    <x v="4"/>
    <x v="2"/>
    <n v="0"/>
    <n v="2E+20"/>
    <n v="0"/>
    <n v="0"/>
    <n v="0"/>
    <n v="0"/>
    <s v="Unnamed ProjectStudent 1WIPEntity"/>
    <n v="1"/>
    <n v="0"/>
    <n v="0"/>
    <n v="0.95"/>
    <n v="4E+20"/>
    <n v="0"/>
    <n v="0"/>
    <n v="2E+20"/>
  </r>
  <r>
    <x v="1"/>
    <s v="2024-10-06 23:26:05"/>
    <n v="1"/>
    <x v="9"/>
    <x v="4"/>
    <x v="2"/>
    <n v="3.9524839466180599"/>
    <n v="3E+20"/>
    <n v="0"/>
    <n v="17"/>
    <n v="2"/>
    <n v="0"/>
    <s v="CSE10L-Final_ProjectStudent Off PeakWIPEntity"/>
    <n v="1"/>
    <n v="3.9524839466180599"/>
    <n v="0"/>
    <n v="0.95"/>
    <n v="4E+20"/>
    <n v="3.9524839466180599"/>
    <n v="3.9524839466180599"/>
    <n v="3E+20"/>
  </r>
  <r>
    <x v="1"/>
    <s v="2024-10-06 23:26:05"/>
    <n v="1"/>
    <x v="10"/>
    <x v="4"/>
    <x v="2"/>
    <n v="29.737147470983899"/>
    <n v="3E+20"/>
    <n v="0"/>
    <n v="59"/>
    <n v="22"/>
    <n v="0"/>
    <s v="CSE10L-Final_ProjectStudent PeakWIPEntity"/>
    <n v="1"/>
    <n v="29.737147470983899"/>
    <n v="0"/>
    <n v="0.95"/>
    <n v="4E+20"/>
    <n v="29.737147470983899"/>
    <n v="29.737147470983899"/>
    <n v="3E+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s v="2024-10-06 23:26:05"/>
    <n v="1"/>
    <x v="0"/>
    <x v="0"/>
    <x v="0"/>
    <n v="0"/>
    <n v="0"/>
    <n v="0"/>
    <n v="0"/>
    <n v="549"/>
    <s v="CSE10L-Final_ProjectProcess boarding and travel by Bus Off Peak.QueueWaiting TimeQueue"/>
    <n v="1"/>
    <n v="0"/>
    <n v="0"/>
    <n v="0.95"/>
    <n v="4E+20"/>
    <n v="0"/>
    <n v="0"/>
    <n v="0"/>
    <n v="0"/>
    <n v="549"/>
    <n v="0"/>
    <n v="1"/>
    <n v="1"/>
  </r>
  <r>
    <x v="0"/>
    <s v="2024-10-06 23:26:05"/>
    <n v="1"/>
    <x v="1"/>
    <x v="0"/>
    <x v="0"/>
    <n v="0"/>
    <n v="0"/>
    <n v="0"/>
    <n v="0"/>
    <n v="2423"/>
    <s v="CSE10L-Final_ProjectProcess boarding and travel by Bus Peak.QueueWaiting TimeQueue"/>
    <n v="1"/>
    <n v="0"/>
    <n v="0"/>
    <n v="0.95"/>
    <n v="4E+20"/>
    <n v="0"/>
    <n v="0"/>
    <n v="0"/>
    <n v="0"/>
    <n v="2423"/>
    <n v="0"/>
    <n v="1"/>
    <n v="1"/>
  </r>
  <r>
    <x v="0"/>
    <s v="2024-10-06 23:26:05"/>
    <n v="1"/>
    <x v="2"/>
    <x v="0"/>
    <x v="0"/>
    <n v="0.372363703391213"/>
    <n v="3E+20"/>
    <n v="0"/>
    <n v="1.3874518023482401"/>
    <n v="4898"/>
    <s v="CSE10L-Final_ProjectProcess boarding and travel by Jeepney Off Peak.QueueWaiting TimeQueue"/>
    <n v="1"/>
    <n v="0.372363703391213"/>
    <n v="0"/>
    <n v="0.95"/>
    <n v="4E+20"/>
    <n v="0.372363703391213"/>
    <n v="0.372363703391213"/>
    <n v="0"/>
    <n v="1.3874518023482401"/>
    <n v="4898"/>
    <n v="3E+20"/>
    <n v="1"/>
    <n v="1"/>
  </r>
  <r>
    <x v="0"/>
    <s v="2024-10-06 23:26:05"/>
    <n v="1"/>
    <x v="3"/>
    <x v="0"/>
    <x v="0"/>
    <n v="0.36702259243470697"/>
    <n v="3E+20"/>
    <n v="0"/>
    <n v="1.43880377294029"/>
    <n v="20608"/>
    <s v="CSE10L-Final_ProjectProcess boarding and travel by Jeepney Peak.QueueWaiting TimeQueue"/>
    <n v="1"/>
    <n v="0.36702259243470697"/>
    <n v="0"/>
    <n v="0.95"/>
    <n v="4E+20"/>
    <n v="0.36702259243470697"/>
    <n v="0.36702259243470697"/>
    <n v="0"/>
    <n v="1.43880377294029"/>
    <n v="20608"/>
    <n v="3E+20"/>
    <n v="1"/>
    <n v="1"/>
  </r>
  <r>
    <x v="0"/>
    <s v="2024-10-06 23:26:05"/>
    <n v="1"/>
    <x v="4"/>
    <x v="1"/>
    <x v="1"/>
    <n v="0"/>
    <n v="0"/>
    <n v="0"/>
    <n v="0"/>
    <n v="5446"/>
    <s v="CSE10L-Final_ProjectStudent Off PeakNVA TimeEntity"/>
    <n v="1"/>
    <n v="0"/>
    <n v="0"/>
    <n v="0.95"/>
    <n v="4E+20"/>
    <n v="0"/>
    <n v="0"/>
    <n v="0"/>
    <n v="0"/>
    <n v="5446"/>
    <n v="0"/>
    <n v="1"/>
    <n v="1"/>
  </r>
  <r>
    <x v="0"/>
    <s v="2024-10-06 23:26:05"/>
    <n v="1"/>
    <x v="4"/>
    <x v="2"/>
    <x v="1"/>
    <n v="0"/>
    <n v="0"/>
    <n v="0"/>
    <n v="0"/>
    <n v="5446"/>
    <s v="CSE10L-Final_ProjectStudent Off PeakOther TimeEntity"/>
    <n v="1"/>
    <n v="0"/>
    <n v="0"/>
    <n v="0.95"/>
    <n v="4E+20"/>
    <n v="0"/>
    <n v="0"/>
    <n v="0"/>
    <n v="0"/>
    <n v="5446"/>
    <n v="0"/>
    <n v="1"/>
    <n v="1"/>
  </r>
  <r>
    <x v="0"/>
    <s v="2024-10-06 23:26:05"/>
    <n v="1"/>
    <x v="4"/>
    <x v="3"/>
    <x v="1"/>
    <n v="0.52249347056078499"/>
    <n v="3E+20"/>
    <n v="8.3643196320956306E-2"/>
    <n v="1.6160643644103301"/>
    <n v="5446"/>
    <s v="CSE10L-Final_ProjectStudent Off PeakTotal TimeEntity"/>
    <n v="1"/>
    <n v="0.52249347056078499"/>
    <n v="0"/>
    <n v="0.95"/>
    <n v="4E+20"/>
    <n v="0.52249347056078499"/>
    <n v="0.52249347056078499"/>
    <n v="8.3643196320956306E-2"/>
    <n v="1.6160643644103301"/>
    <n v="5446"/>
    <n v="3E+20"/>
    <n v="1"/>
    <n v="1"/>
  </r>
  <r>
    <x v="0"/>
    <s v="2024-10-06 23:26:05"/>
    <n v="1"/>
    <x v="4"/>
    <x v="4"/>
    <x v="1"/>
    <n v="0"/>
    <n v="0"/>
    <n v="0"/>
    <n v="0"/>
    <n v="5446"/>
    <s v="CSE10L-Final_ProjectStudent Off PeakTransfer TimeEntity"/>
    <n v="1"/>
    <n v="0"/>
    <n v="0"/>
    <n v="0.95"/>
    <n v="4E+20"/>
    <n v="0"/>
    <n v="0"/>
    <n v="0"/>
    <n v="0"/>
    <n v="5446"/>
    <n v="0"/>
    <n v="1"/>
    <n v="1"/>
  </r>
  <r>
    <x v="0"/>
    <s v="2024-10-06 23:26:05"/>
    <n v="1"/>
    <x v="4"/>
    <x v="5"/>
    <x v="1"/>
    <n v="0.187629448690036"/>
    <n v="2.3171395766848801E-3"/>
    <n v="8.3346174138000606E-2"/>
    <n v="0.49912841823366699"/>
    <n v="5446"/>
    <s v="CSE10L-Final_ProjectStudent Off PeakVA TimeEntity"/>
    <n v="1"/>
    <n v="0.187629448690036"/>
    <n v="0"/>
    <n v="0.95"/>
    <n v="4E+20"/>
    <n v="0.187629448690036"/>
    <n v="0.187629448690036"/>
    <n v="8.3346174138000606E-2"/>
    <n v="0.49912841823366699"/>
    <n v="5446"/>
    <n v="2.3171395766848801E-3"/>
    <n v="1"/>
    <n v="1"/>
  </r>
  <r>
    <x v="0"/>
    <s v="2024-10-06 23:26:05"/>
    <n v="1"/>
    <x v="4"/>
    <x v="6"/>
    <x v="1"/>
    <n v="0.33486402187074699"/>
    <n v="3E+20"/>
    <n v="0"/>
    <n v="1.3874518023482401"/>
    <n v="5446"/>
    <s v="CSE10L-Final_ProjectStudent Off PeakWait TimeEntity"/>
    <n v="1"/>
    <n v="0.33486402187074699"/>
    <n v="0"/>
    <n v="0.95"/>
    <n v="4E+20"/>
    <n v="0.33486402187074699"/>
    <n v="0.33486402187074699"/>
    <n v="0"/>
    <n v="1.3874518023482401"/>
    <n v="5446"/>
    <n v="3E+20"/>
    <n v="1"/>
    <n v="1"/>
  </r>
  <r>
    <x v="0"/>
    <s v="2024-10-06 23:26:05"/>
    <n v="1"/>
    <x v="5"/>
    <x v="1"/>
    <x v="1"/>
    <n v="0"/>
    <n v="0"/>
    <n v="0"/>
    <n v="0"/>
    <n v="23012"/>
    <s v="CSE10L-Final_ProjectStudent PeakNVA TimeEntity"/>
    <n v="1"/>
    <n v="0"/>
    <n v="0"/>
    <n v="0.95"/>
    <n v="4E+20"/>
    <n v="0"/>
    <n v="0"/>
    <n v="0"/>
    <n v="0"/>
    <n v="23012"/>
    <n v="0"/>
    <n v="1"/>
    <n v="1"/>
  </r>
  <r>
    <x v="0"/>
    <s v="2024-10-06 23:26:05"/>
    <n v="1"/>
    <x v="5"/>
    <x v="2"/>
    <x v="1"/>
    <n v="0"/>
    <n v="0"/>
    <n v="0"/>
    <n v="0"/>
    <n v="23012"/>
    <s v="CSE10L-Final_ProjectStudent PeakOther TimeEntity"/>
    <n v="1"/>
    <n v="0"/>
    <n v="0"/>
    <n v="0.95"/>
    <n v="4E+20"/>
    <n v="0"/>
    <n v="0"/>
    <n v="0"/>
    <n v="0"/>
    <n v="23012"/>
    <n v="0"/>
    <n v="1"/>
    <n v="1"/>
  </r>
  <r>
    <x v="0"/>
    <s v="2024-10-06 23:26:05"/>
    <n v="1"/>
    <x v="5"/>
    <x v="3"/>
    <x v="1"/>
    <n v="0.930043468826522"/>
    <n v="3E+20"/>
    <n v="0.26577577120815499"/>
    <n v="2.3834786956999801"/>
    <n v="23012"/>
    <s v="CSE10L-Final_ProjectStudent PeakTotal TimeEntity"/>
    <n v="1"/>
    <n v="0.930043468826522"/>
    <n v="0"/>
    <n v="0.95"/>
    <n v="4E+20"/>
    <n v="0.930043468826522"/>
    <n v="0.930043468826522"/>
    <n v="0.26577577120815499"/>
    <n v="2.3834786956999801"/>
    <n v="23012"/>
    <n v="3E+20"/>
    <n v="1"/>
    <n v="1"/>
  </r>
  <r>
    <x v="0"/>
    <s v="2024-10-06 23:26:05"/>
    <n v="1"/>
    <x v="5"/>
    <x v="4"/>
    <x v="1"/>
    <n v="0"/>
    <n v="0"/>
    <n v="0"/>
    <n v="0"/>
    <n v="23012"/>
    <s v="CSE10L-Final_ProjectStudent PeakTransfer TimeEntity"/>
    <n v="1"/>
    <n v="0"/>
    <n v="0"/>
    <n v="0.95"/>
    <n v="4E+20"/>
    <n v="0"/>
    <n v="0"/>
    <n v="0"/>
    <n v="0"/>
    <n v="23012"/>
    <n v="0"/>
    <n v="1"/>
    <n v="1"/>
  </r>
  <r>
    <x v="0"/>
    <s v="2024-10-06 23:26:05"/>
    <n v="1"/>
    <x v="5"/>
    <x v="5"/>
    <x v="1"/>
    <n v="0.60145970284737105"/>
    <n v="2.7395596411102599E-3"/>
    <n v="0.251121988031969"/>
    <n v="0.99775165090301199"/>
    <n v="23012"/>
    <s v="CSE10L-Final_ProjectStudent PeakVA TimeEntity"/>
    <n v="1"/>
    <n v="0.60145970284737105"/>
    <n v="0"/>
    <n v="0.95"/>
    <n v="4E+20"/>
    <n v="0.60145970284737105"/>
    <n v="0.60145970284737105"/>
    <n v="0.251121988031969"/>
    <n v="0.99775165090301199"/>
    <n v="23012"/>
    <n v="2.7395596411102599E-3"/>
    <n v="1"/>
    <n v="1"/>
  </r>
  <r>
    <x v="0"/>
    <s v="2024-10-06 23:26:05"/>
    <n v="1"/>
    <x v="5"/>
    <x v="6"/>
    <x v="1"/>
    <n v="0.328583765979158"/>
    <n v="3E+20"/>
    <n v="0"/>
    <n v="1.43880377294029"/>
    <n v="23012"/>
    <s v="CSE10L-Final_ProjectStudent PeakWait TimeEntity"/>
    <n v="1"/>
    <n v="0.328583765979158"/>
    <n v="0"/>
    <n v="0.95"/>
    <n v="4E+20"/>
    <n v="0.328583765979158"/>
    <n v="0.328583765979158"/>
    <n v="0"/>
    <n v="1.43880377294029"/>
    <n v="23012"/>
    <n v="3E+20"/>
    <n v="1"/>
    <n v="1"/>
  </r>
  <r>
    <x v="0"/>
    <s v="2024-10-06 23:26:05"/>
    <n v="1"/>
    <x v="6"/>
    <x v="7"/>
    <x v="2"/>
    <n v="0.37763609407827298"/>
    <n v="7.4914941663914896E-3"/>
    <n v="0.25006319844703701"/>
    <n v="0.49912841823366699"/>
    <n v="549"/>
    <s v="CSE10L-Final_ProjectTally Bus Boarding Off PeakIntervalUser Specified"/>
    <n v="1"/>
    <n v="0.37763609407827298"/>
    <n v="0"/>
    <n v="0.95"/>
    <n v="4E+20"/>
    <n v="0.37763609407827298"/>
    <n v="0.37763609407827298"/>
    <n v="0.25006319844703701"/>
    <n v="0.49912841823366699"/>
    <n v="549"/>
    <n v="7.4914941663914896E-3"/>
    <n v="1"/>
    <n v="1"/>
  </r>
  <r>
    <x v="0"/>
    <s v="2024-10-06 23:26:05"/>
    <n v="1"/>
    <x v="7"/>
    <x v="7"/>
    <x v="2"/>
    <n v="0.75035824404615303"/>
    <n v="4.77894653042808E-3"/>
    <n v="0.50732583800881104"/>
    <n v="0.98696203743116895"/>
    <n v="2421"/>
    <s v="CSE10L-Final_ProjectTally Bus Boarding PeakIntervalUser Specified"/>
    <n v="1"/>
    <n v="0.75035824404615303"/>
    <n v="0"/>
    <n v="0.95"/>
    <n v="4E+20"/>
    <n v="0.75035824404615303"/>
    <n v="0.75035824404615303"/>
    <n v="0.50732583800881104"/>
    <n v="0.98696203743116895"/>
    <n v="2421"/>
    <n v="4.77894653042808E-3"/>
    <n v="1"/>
    <n v="1"/>
  </r>
  <r>
    <x v="0"/>
    <s v="2024-10-06 23:26:05"/>
    <n v="1"/>
    <x v="8"/>
    <x v="7"/>
    <x v="2"/>
    <n v="0.37763609407827298"/>
    <n v="7.4914941663914896E-3"/>
    <n v="0.25006319844703701"/>
    <n v="0.49912841823366699"/>
    <n v="549"/>
    <s v="CSE10L-Final_ProjectTally Bus Travel Off PeakIntervalUser Specified"/>
    <n v="1"/>
    <n v="0.37763609407827298"/>
    <n v="0"/>
    <n v="0.95"/>
    <n v="4E+20"/>
    <n v="0.37763609407827298"/>
    <n v="0.37763609407827298"/>
    <n v="0.25006319844703701"/>
    <n v="0.49912841823366699"/>
    <n v="549"/>
    <n v="7.4914941663914896E-3"/>
    <n v="1"/>
    <n v="1"/>
  </r>
  <r>
    <x v="0"/>
    <s v="2024-10-06 23:26:05"/>
    <n v="1"/>
    <x v="9"/>
    <x v="7"/>
    <x v="2"/>
    <n v="0.75035824404615303"/>
    <n v="4.77894653042808E-3"/>
    <n v="0.50732583800881104"/>
    <n v="0.98696203743116895"/>
    <n v="2421"/>
    <s v="CSE10L-Final_ProjectTally Bus Travel PeakIntervalUser Specified"/>
    <n v="1"/>
    <n v="0.75035824404615303"/>
    <n v="0"/>
    <n v="0.95"/>
    <n v="4E+20"/>
    <n v="0.75035824404615303"/>
    <n v="0.75035824404615303"/>
    <n v="0.50732583800881104"/>
    <n v="0.98696203743116895"/>
    <n v="2421"/>
    <n v="4.77894653042808E-3"/>
    <n v="1"/>
    <n v="1"/>
  </r>
  <r>
    <x v="0"/>
    <s v="2024-10-06 23:26:05"/>
    <n v="1"/>
    <x v="10"/>
    <x v="7"/>
    <x v="2"/>
    <n v="0.53873335205739303"/>
    <n v="3E+20"/>
    <n v="8.3643196320956306E-2"/>
    <n v="1.6160643644103301"/>
    <n v="4897"/>
    <s v="CSE10L-Final_ProjectTally Jeepney Boarding Off PeakIntervalUser Specified"/>
    <n v="1"/>
    <n v="0.53873335205739303"/>
    <n v="0"/>
    <n v="0.95"/>
    <n v="4E+20"/>
    <n v="0.53873335205739303"/>
    <n v="0.53873335205739303"/>
    <n v="8.3643196320956306E-2"/>
    <n v="1.6160643644103301"/>
    <n v="4897"/>
    <n v="3E+20"/>
    <n v="1"/>
    <n v="1"/>
  </r>
  <r>
    <x v="0"/>
    <s v="2024-10-06 23:26:05"/>
    <n v="1"/>
    <x v="11"/>
    <x v="7"/>
    <x v="2"/>
    <n v="0.95117007410034704"/>
    <n v="3E+20"/>
    <n v="0.26577577120815499"/>
    <n v="2.3834786956999801"/>
    <n v="20591"/>
    <s v="CSE10L-Final_ProjectTally Jeepney Boarding PeakIntervalUser Specified"/>
    <n v="1"/>
    <n v="0.95117007410034704"/>
    <n v="0"/>
    <n v="0.95"/>
    <n v="4E+20"/>
    <n v="0.95117007410034704"/>
    <n v="0.95117007410034704"/>
    <n v="0.26577577120815499"/>
    <n v="2.3834786956999801"/>
    <n v="20591"/>
    <n v="3E+20"/>
    <n v="1"/>
    <n v="1"/>
  </r>
  <r>
    <x v="0"/>
    <s v="2024-10-06 23:26:05"/>
    <n v="1"/>
    <x v="12"/>
    <x v="7"/>
    <x v="2"/>
    <n v="0.53873335205739303"/>
    <n v="3E+20"/>
    <n v="8.3643196320956306E-2"/>
    <n v="1.6160643644103301"/>
    <n v="4897"/>
    <s v="CSE10L-Final_ProjectTally Jeepney Travel Off PeakIntervalUser Specified"/>
    <n v="1"/>
    <n v="0.53873335205739303"/>
    <n v="0"/>
    <n v="0.95"/>
    <n v="4E+20"/>
    <n v="0.53873335205739303"/>
    <n v="0.53873335205739303"/>
    <n v="8.3643196320956306E-2"/>
    <n v="1.6160643644103301"/>
    <n v="4897"/>
    <n v="3E+20"/>
    <n v="1"/>
    <n v="1"/>
  </r>
  <r>
    <x v="0"/>
    <s v="2024-10-06 23:26:05"/>
    <n v="1"/>
    <x v="13"/>
    <x v="7"/>
    <x v="2"/>
    <n v="0.95117007410034704"/>
    <n v="3E+20"/>
    <n v="0.26577577120815499"/>
    <n v="2.3834786956999801"/>
    <n v="20591"/>
    <s v="CSE10L-Final_ProjectTally Jeepney Travel PeakIntervalUser Specified"/>
    <n v="1"/>
    <n v="0.95117007410034704"/>
    <n v="0"/>
    <n v="0.95"/>
    <n v="4E+20"/>
    <n v="0.95117007410034704"/>
    <n v="0.95117007410034704"/>
    <n v="0.26577577120815499"/>
    <n v="2.3834786956999801"/>
    <n v="20591"/>
    <n v="3E+20"/>
    <n v="1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s v="2024-10-02 13:52:08"/>
    <n v="1"/>
    <x v="0"/>
    <x v="0"/>
    <x v="0"/>
    <n v="0"/>
    <n v="0"/>
    <s v="Unnamed ProjectBus.NumberSeizedTotal Number SeizedResource"/>
    <n v="1"/>
    <n v="0"/>
    <n v="0"/>
    <n v="0.95"/>
    <n v="4E+20"/>
    <n v="0"/>
    <n v="0"/>
  </r>
  <r>
    <x v="1"/>
    <s v="2024-10-06 23:26:05"/>
    <n v="1"/>
    <x v="0"/>
    <x v="0"/>
    <x v="0"/>
    <n v="2972"/>
    <n v="0"/>
    <s v="CSE10L-Final_ProjectBus.NumberSeizedTotal Number SeizedResource"/>
    <n v="1"/>
    <n v="2972"/>
    <n v="0"/>
    <n v="0.95"/>
    <n v="4E+20"/>
    <n v="2972"/>
    <n v="2972"/>
  </r>
  <r>
    <x v="0"/>
    <s v="2024-10-02 13:52:08"/>
    <n v="1"/>
    <x v="1"/>
    <x v="1"/>
    <x v="0"/>
    <n v="0"/>
    <n v="0"/>
    <s v="Unnamed ProjectBus.ScheduledUtilizationScheduled UtilizationResource"/>
    <n v="1"/>
    <n v="0"/>
    <n v="0"/>
    <n v="0.95"/>
    <n v="4E+20"/>
    <n v="0"/>
    <n v="0"/>
  </r>
  <r>
    <x v="1"/>
    <s v="2024-10-06 23:26:05"/>
    <n v="1"/>
    <x v="1"/>
    <x v="1"/>
    <x v="0"/>
    <n v="6.3922712258461994E-2"/>
    <n v="0"/>
    <s v="CSE10L-Final_ProjectBus.ScheduledUtilizationScheduled UtilizationResource"/>
    <n v="1"/>
    <n v="6.3922712258461994E-2"/>
    <n v="0"/>
    <n v="0.95"/>
    <n v="4E+20"/>
    <n v="6.3922712258461994E-2"/>
    <n v="6.3922712258461994E-2"/>
  </r>
  <r>
    <x v="0"/>
    <s v="2024-10-02 13:52:08"/>
    <n v="1"/>
    <x v="2"/>
    <x v="0"/>
    <x v="0"/>
    <n v="0"/>
    <n v="0"/>
    <s v="Unnamed ProjectJeepney.NumberSeizedTotal Number SeizedResource"/>
    <n v="1"/>
    <n v="0"/>
    <n v="0"/>
    <n v="0.95"/>
    <n v="4E+20"/>
    <n v="0"/>
    <n v="0"/>
  </r>
  <r>
    <x v="1"/>
    <s v="2024-10-06 23:26:05"/>
    <n v="1"/>
    <x v="2"/>
    <x v="0"/>
    <x v="0"/>
    <n v="25506"/>
    <n v="0"/>
    <s v="CSE10L-Final_ProjectJeepney.NumberSeizedTotal Number SeizedResource"/>
    <n v="1"/>
    <n v="25506"/>
    <n v="0"/>
    <n v="0.95"/>
    <n v="4E+20"/>
    <n v="25506"/>
    <n v="25506"/>
  </r>
  <r>
    <x v="0"/>
    <s v="2024-10-02 13:52:08"/>
    <n v="1"/>
    <x v="3"/>
    <x v="1"/>
    <x v="0"/>
    <n v="0"/>
    <n v="0"/>
    <s v="Unnamed ProjectJeepney.ScheduledUtilizationScheduled UtilizationResource"/>
    <n v="1"/>
    <n v="0"/>
    <n v="0"/>
    <n v="0.95"/>
    <n v="4E+20"/>
    <n v="0"/>
    <n v="0"/>
  </r>
  <r>
    <x v="1"/>
    <s v="2024-10-06 23:26:05"/>
    <n v="1"/>
    <x v="3"/>
    <x v="1"/>
    <x v="0"/>
    <n v="0.991032449588783"/>
    <n v="0"/>
    <s v="CSE10L-Final_ProjectJeepney.ScheduledUtilizationScheduled UtilizationResource"/>
    <n v="1"/>
    <n v="0.991032449588783"/>
    <n v="0"/>
    <n v="0.95"/>
    <n v="4E+20"/>
    <n v="0.991032449588783"/>
    <n v="0.991032449588783"/>
  </r>
  <r>
    <x v="0"/>
    <s v="2024-10-02 13:52:08"/>
    <n v="1"/>
    <x v="4"/>
    <x v="2"/>
    <x v="1"/>
    <n v="0"/>
    <n v="0"/>
    <s v="Unnamed ProjectStudent 1.NumberInNumber InEntity"/>
    <n v="1"/>
    <n v="0"/>
    <n v="0"/>
    <n v="0.95"/>
    <n v="4E+20"/>
    <n v="0"/>
    <n v="0"/>
  </r>
  <r>
    <x v="0"/>
    <s v="2024-10-02 13:52:08"/>
    <n v="1"/>
    <x v="5"/>
    <x v="3"/>
    <x v="1"/>
    <n v="0"/>
    <n v="0"/>
    <s v="Unnamed ProjectStudent 1.NumberOutNumber OutEntity"/>
    <n v="1"/>
    <n v="0"/>
    <n v="0"/>
    <n v="0.95"/>
    <n v="4E+20"/>
    <n v="0"/>
    <n v="0"/>
  </r>
  <r>
    <x v="1"/>
    <s v="2024-10-06 23:26:05"/>
    <n v="1"/>
    <x v="6"/>
    <x v="2"/>
    <x v="1"/>
    <n v="5448"/>
    <n v="0"/>
    <s v="CSE10L-Final_ProjectStudent Off Peak.NumberInNumber InEntity"/>
    <n v="1"/>
    <n v="5448"/>
    <n v="0"/>
    <n v="0.95"/>
    <n v="4E+20"/>
    <n v="5448"/>
    <n v="5448"/>
  </r>
  <r>
    <x v="1"/>
    <s v="2024-10-06 23:26:05"/>
    <n v="1"/>
    <x v="7"/>
    <x v="3"/>
    <x v="1"/>
    <n v="5446"/>
    <n v="0"/>
    <s v="CSE10L-Final_ProjectStudent Off Peak.NumberOutNumber OutEntity"/>
    <n v="1"/>
    <n v="5446"/>
    <n v="0"/>
    <n v="0.95"/>
    <n v="4E+20"/>
    <n v="5446"/>
    <n v="5446"/>
  </r>
  <r>
    <x v="1"/>
    <s v="2024-10-06 23:26:05"/>
    <n v="1"/>
    <x v="8"/>
    <x v="2"/>
    <x v="1"/>
    <n v="23034"/>
    <n v="0"/>
    <s v="CSE10L-Final_ProjectStudent Peak.NumberInNumber InEntity"/>
    <n v="1"/>
    <n v="23034"/>
    <n v="0"/>
    <n v="0.95"/>
    <n v="4E+20"/>
    <n v="23034"/>
    <n v="23034"/>
  </r>
  <r>
    <x v="1"/>
    <s v="2024-10-06 23:26:05"/>
    <n v="1"/>
    <x v="9"/>
    <x v="3"/>
    <x v="1"/>
    <n v="23012"/>
    <n v="0"/>
    <s v="CSE10L-Final_ProjectStudent Peak.NumberOutNumber OutEntity"/>
    <n v="1"/>
    <n v="23012"/>
    <n v="0"/>
    <n v="0.95"/>
    <n v="4E+20"/>
    <n v="23012"/>
    <n v="23012"/>
  </r>
  <r>
    <x v="0"/>
    <s v="2024-10-02 13:52:08"/>
    <n v="1"/>
    <x v="10"/>
    <x v="3"/>
    <x v="2"/>
    <n v="0"/>
    <n v="0"/>
    <s v="Unnamed ProjectSystem.NumberOutNumber OutSystem"/>
    <n v="1"/>
    <n v="0"/>
    <n v="0"/>
    <n v="0.95"/>
    <n v="4E+20"/>
    <n v="0"/>
    <n v="0"/>
  </r>
  <r>
    <x v="1"/>
    <s v="2024-10-06 23:26:05"/>
    <n v="1"/>
    <x v="10"/>
    <x v="3"/>
    <x v="2"/>
    <n v="28458"/>
    <n v="0"/>
    <s v="CSE10L-Final_ProjectSystem.NumberOutNumber OutSystem"/>
    <n v="1"/>
    <n v="28458"/>
    <n v="0"/>
    <n v="0.95"/>
    <n v="4E+20"/>
    <n v="28458"/>
    <n v="2845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23" firstHeaderRow="0" firstDataRow="1" firstDataCol="4"/>
  <pivotFields count="21">
    <pivotField name="Project Name" axis="axisRow" compact="0" outline="0" subtotalTop="0" showAll="0" defaultSubtotal="0">
      <items count="5">
        <item m="1" x="4"/>
        <item m="1" x="2"/>
        <item m="1" x="3"/>
        <item x="0"/>
        <item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5">
        <item m="1" x="26"/>
        <item m="1" x="17"/>
        <item m="1" x="33"/>
        <item m="1" x="42"/>
        <item m="1" x="55"/>
        <item m="1" x="54"/>
        <item m="1" x="18"/>
        <item m="1" x="119"/>
        <item m="1" x="97"/>
        <item m="1" x="60"/>
        <item m="1" x="47"/>
        <item m="1" x="51"/>
        <item m="1" x="133"/>
        <item m="1" x="36"/>
        <item m="1" x="118"/>
        <item m="1" x="40"/>
        <item m="1" x="91"/>
        <item m="1" x="105"/>
        <item m="1" x="15"/>
        <item m="1" x="41"/>
        <item m="1" x="128"/>
        <item m="1" x="30"/>
        <item m="1" x="120"/>
        <item m="1" x="19"/>
        <item m="1" x="46"/>
        <item m="1" x="72"/>
        <item m="1" x="16"/>
        <item m="1" x="22"/>
        <item m="1" x="92"/>
        <item m="1" x="73"/>
        <item m="1" x="107"/>
        <item m="1" x="63"/>
        <item m="1" x="27"/>
        <item m="1" x="57"/>
        <item m="1" x="93"/>
        <item m="1" x="78"/>
        <item m="1" x="28"/>
        <item m="1" x="38"/>
        <item m="1" x="100"/>
        <item m="1" x="14"/>
        <item m="1" x="127"/>
        <item m="1" x="85"/>
        <item m="1" x="25"/>
        <item m="1" x="110"/>
        <item m="1" x="56"/>
        <item m="1" x="129"/>
        <item m="1" x="90"/>
        <item m="1" x="32"/>
        <item m="1" x="77"/>
        <item m="1" x="96"/>
        <item m="1" x="109"/>
        <item m="1" x="117"/>
        <item m="1" x="126"/>
        <item m="1" x="13"/>
        <item m="1" x="31"/>
        <item m="1" x="45"/>
        <item m="1" x="34"/>
        <item m="1" x="12"/>
        <item m="1" x="106"/>
        <item m="1" x="123"/>
        <item m="1" x="49"/>
        <item m="1" x="84"/>
        <item m="1" x="37"/>
        <item m="1" x="58"/>
        <item m="1" x="43"/>
        <item m="1" x="67"/>
        <item m="1" x="52"/>
        <item m="1" x="74"/>
        <item m="1" x="59"/>
        <item m="1" x="86"/>
        <item m="1" x="68"/>
        <item m="1" x="94"/>
        <item m="1" x="75"/>
        <item m="1" x="103"/>
        <item m="1" x="87"/>
        <item m="1" x="108"/>
        <item m="1" x="95"/>
        <item m="1" x="112"/>
        <item m="1" x="124"/>
        <item m="1" x="114"/>
        <item m="1" x="98"/>
        <item m="1" x="71"/>
        <item m="1" x="50"/>
        <item m="1" x="65"/>
        <item m="1" x="29"/>
        <item m="1" x="35"/>
        <item m="1" x="44"/>
        <item m="1" x="48"/>
        <item m="1" x="80"/>
        <item m="1" x="125"/>
        <item m="1" x="115"/>
        <item m="1" x="99"/>
        <item m="1" x="66"/>
        <item m="1" x="134"/>
        <item m="1" x="82"/>
        <item m="1" x="70"/>
        <item m="1" x="102"/>
        <item m="1" x="83"/>
        <item m="1" x="62"/>
        <item m="1" x="69"/>
        <item m="1" x="23"/>
        <item m="1" x="88"/>
        <item m="1" x="104"/>
        <item m="1" x="113"/>
        <item m="1" x="121"/>
        <item m="1" x="132"/>
        <item m="1" x="20"/>
        <item m="1" x="39"/>
        <item m="1" x="131"/>
        <item m="1" x="21"/>
        <item m="1" x="89"/>
        <item m="1" x="64"/>
        <item m="1" x="79"/>
        <item m="1" x="24"/>
        <item m="1" x="130"/>
        <item m="1" x="111"/>
        <item m="1" x="61"/>
        <item m="1" x="122"/>
        <item m="1" x="81"/>
        <item m="1" x="101"/>
        <item m="1" x="116"/>
        <item m="1" x="53"/>
        <item m="1" x="76"/>
        <item m="1" x="11"/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1">
    <i>
      <x v="3"/>
      <x v="124"/>
      <x/>
      <x v="2"/>
    </i>
    <i r="2">
      <x v="1"/>
      <x v="2"/>
    </i>
    <i r="2">
      <x v="2"/>
      <x v="2"/>
    </i>
    <i r="1">
      <x v="125"/>
      <x/>
      <x v="2"/>
    </i>
    <i r="2">
      <x v="1"/>
      <x v="2"/>
    </i>
    <i r="2">
      <x v="2"/>
      <x v="2"/>
    </i>
    <i r="1">
      <x v="128"/>
      <x v="3"/>
      <x v="1"/>
    </i>
    <i r="1">
      <x v="131"/>
      <x v="3"/>
      <x v="1"/>
    </i>
    <i r="1">
      <x v="132"/>
      <x v="4"/>
      <x/>
    </i>
    <i>
      <x v="4"/>
      <x v="124"/>
      <x/>
      <x v="2"/>
    </i>
    <i r="2">
      <x v="1"/>
      <x v="2"/>
    </i>
    <i r="2">
      <x v="2"/>
      <x v="2"/>
    </i>
    <i r="1">
      <x v="125"/>
      <x/>
      <x v="2"/>
    </i>
    <i r="2">
      <x v="1"/>
      <x v="2"/>
    </i>
    <i r="2">
      <x v="2"/>
      <x v="2"/>
    </i>
    <i r="1">
      <x v="126"/>
      <x v="3"/>
      <x v="1"/>
    </i>
    <i r="1">
      <x v="127"/>
      <x v="3"/>
      <x v="1"/>
    </i>
    <i r="1">
      <x v="129"/>
      <x v="3"/>
      <x v="1"/>
    </i>
    <i r="1">
      <x v="130"/>
      <x v="3"/>
      <x v="1"/>
    </i>
    <i r="1">
      <x v="133"/>
      <x v="4"/>
      <x/>
    </i>
    <i r="1">
      <x v="134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26" firstHeaderRow="0" firstDataRow="1" firstDataCol="4"/>
  <pivotFields count="25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13">
        <item m="1" x="24"/>
        <item m="1" x="47"/>
        <item m="1" x="19"/>
        <item m="1" x="99"/>
        <item m="1" x="82"/>
        <item m="1" x="52"/>
        <item m="1" x="108"/>
        <item m="1" x="40"/>
        <item m="1" x="44"/>
        <item m="1" x="111"/>
        <item m="1" x="77"/>
        <item m="1" x="89"/>
        <item m="1" x="94"/>
        <item m="1" x="18"/>
        <item m="1" x="46"/>
        <item m="1" x="36"/>
        <item m="1" x="112"/>
        <item m="1" x="106"/>
        <item m="1" x="34"/>
        <item m="1" x="28"/>
        <item m="1" x="100"/>
        <item m="1" x="20"/>
        <item m="1" x="53"/>
        <item m="1" x="39"/>
        <item m="1" x="64"/>
        <item m="1" x="91"/>
        <item m="1" x="55"/>
        <item m="1" x="25"/>
        <item m="1" x="49"/>
        <item m="1" x="78"/>
        <item m="1" x="68"/>
        <item m="1" x="26"/>
        <item m="1" x="85"/>
        <item m="1" x="17"/>
        <item m="1" x="105"/>
        <item m="1" x="73"/>
        <item m="1" x="93"/>
        <item m="1" x="48"/>
        <item m="1" x="107"/>
        <item m="1" x="76"/>
        <item m="1" x="30"/>
        <item m="1" x="67"/>
        <item m="1" x="81"/>
        <item m="1" x="92"/>
        <item m="1" x="98"/>
        <item m="1" x="16"/>
        <item m="1" x="29"/>
        <item m="1" x="38"/>
        <item m="1" x="31"/>
        <item m="1" x="15"/>
        <item m="1" x="90"/>
        <item m="1" x="102"/>
        <item m="1" x="42"/>
        <item m="1" x="72"/>
        <item m="1" x="33"/>
        <item m="1" x="50"/>
        <item m="1" x="37"/>
        <item m="1" x="58"/>
        <item m="1" x="45"/>
        <item m="1" x="65"/>
        <item m="1" x="51"/>
        <item m="1" x="74"/>
        <item m="1" x="59"/>
        <item m="1" x="79"/>
        <item m="1" x="66"/>
        <item m="1" x="87"/>
        <item m="1" x="80"/>
        <item m="1" x="95"/>
        <item m="1" x="103"/>
        <item m="1" x="83"/>
        <item m="1" x="62"/>
        <item m="1" x="43"/>
        <item m="1" x="56"/>
        <item m="1" x="27"/>
        <item m="1" x="32"/>
        <item m="1" x="41"/>
        <item m="1" x="69"/>
        <item m="1" x="104"/>
        <item m="1" x="97"/>
        <item m="1" x="84"/>
        <item m="1" x="57"/>
        <item m="1" x="70"/>
        <item m="1" x="61"/>
        <item m="1" x="86"/>
        <item m="1" x="71"/>
        <item m="1" x="54"/>
        <item m="1" x="60"/>
        <item m="1" x="23"/>
        <item m="1" x="63"/>
        <item m="1" x="75"/>
        <item m="1" x="88"/>
        <item m="1" x="96"/>
        <item m="1" x="101"/>
        <item m="1" x="110"/>
        <item m="1" x="21"/>
        <item m="1" x="35"/>
        <item m="1" x="109"/>
        <item m="1" x="22"/>
        <item m="1" x="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compact="0" outline="0" showAll="0" defaultSubtotal="0">
      <items count="12">
        <item x="7"/>
        <item x="1"/>
        <item x="2"/>
        <item x="3"/>
        <item x="4"/>
        <item x="5"/>
        <item x="6"/>
        <item x="0"/>
        <item m="1" x="9"/>
        <item m="1" x="10"/>
        <item m="1" x="11"/>
        <item m="1" x="8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24">
    <i>
      <x v="4"/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4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5"/>
      <x/>
      <x v="2"/>
    </i>
    <i r="1">
      <x v="106"/>
      <x/>
      <x v="2"/>
    </i>
    <i r="1">
      <x v="107"/>
      <x/>
      <x v="2"/>
    </i>
    <i r="1">
      <x v="108"/>
      <x/>
      <x v="2"/>
    </i>
    <i r="1">
      <x v="109"/>
      <x/>
      <x v="2"/>
    </i>
    <i r="1">
      <x v="110"/>
      <x/>
      <x v="2"/>
    </i>
    <i r="1">
      <x v="111"/>
      <x/>
      <x v="2"/>
    </i>
    <i r="1">
      <x v="112"/>
      <x/>
      <x v="2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8" firstHeaderRow="0" firstDataRow="1" firstDataCol="4"/>
  <pivotFields count="16">
    <pivotField name="Project Name" axis="axisRow" compact="0" outline="0" subtotalTop="0" showAll="0" defaultSubtotal="0">
      <items count="5">
        <item m="1" x="4"/>
        <item m="1" x="2"/>
        <item m="1" x="3"/>
        <item x="0"/>
        <item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9">
        <item m="1" x="36"/>
        <item m="1" x="12"/>
        <item m="1" x="37"/>
        <item m="1" x="13"/>
        <item m="1" x="38"/>
        <item m="1" x="14"/>
        <item m="1" x="39"/>
        <item m="1" x="15"/>
        <item m="1" x="71"/>
        <item m="1" x="26"/>
        <item x="10"/>
        <item m="1" x="70"/>
        <item m="1" x="57"/>
        <item m="1" x="74"/>
        <item m="1" x="59"/>
        <item m="1" x="75"/>
        <item m="1" x="82"/>
        <item m="1" x="51"/>
        <item m="1" x="19"/>
        <item m="1" x="68"/>
        <item m="1" x="58"/>
        <item m="1" x="56"/>
        <item m="1" x="22"/>
        <item m="1" x="66"/>
        <item m="1" x="31"/>
        <item m="1" x="67"/>
        <item m="1" x="32"/>
        <item m="1" x="65"/>
        <item m="1" x="85"/>
        <item m="1" x="25"/>
        <item m="1" x="88"/>
        <item m="1" x="53"/>
        <item m="1" x="20"/>
        <item m="1" x="83"/>
        <item m="1" x="78"/>
        <item m="1" x="54"/>
        <item m="1" x="21"/>
        <item m="1" x="84"/>
        <item m="1" x="79"/>
        <item m="1" x="16"/>
        <item m="1" x="50"/>
        <item m="1" x="34"/>
        <item m="1" x="24"/>
        <item m="1" x="76"/>
        <item m="1" x="46"/>
        <item m="1" x="77"/>
        <item m="1" x="47"/>
        <item m="1" x="33"/>
        <item m="1" x="28"/>
        <item m="1" x="55"/>
        <item m="1" x="30"/>
        <item m="1" x="87"/>
        <item m="1" x="80"/>
        <item m="1" x="29"/>
        <item m="1" x="27"/>
        <item m="1" x="72"/>
        <item m="1" x="81"/>
        <item m="1" x="17"/>
        <item m="1" x="35"/>
        <item m="1" x="48"/>
        <item m="1" x="69"/>
        <item m="1" x="86"/>
        <item m="1" x="18"/>
        <item m="1" x="45"/>
        <item m="1" x="49"/>
        <item m="1" x="73"/>
        <item m="1" x="52"/>
        <item m="1" x="23"/>
        <item m="1" x="40"/>
        <item m="1" x="60"/>
        <item m="1" x="41"/>
        <item m="1" x="61"/>
        <item m="1" x="42"/>
        <item m="1" x="62"/>
        <item m="1" x="43"/>
        <item m="1" x="63"/>
        <item m="1" x="44"/>
        <item m="1" x="64"/>
        <item m="1" x="11"/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6">
    <i>
      <x v="3"/>
      <x v="10"/>
      <x v="1"/>
      <x v="2"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/>
      <x/>
    </i>
    <i r="1">
      <x v="84"/>
      <x v="1"/>
      <x/>
    </i>
    <i>
      <x v="4"/>
      <x v="10"/>
      <x v="1"/>
      <x v="2"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5"/>
      <x/>
      <x/>
    </i>
    <i r="1">
      <x v="86"/>
      <x v="1"/>
      <x/>
    </i>
    <i r="1">
      <x v="87"/>
      <x/>
      <x/>
    </i>
    <i r="1">
      <x v="88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3" tableType="queryTable" totalsRowShown="0">
  <autoFilter ref="A1:G3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5" tableType="queryTable" totalsRowShown="0">
  <autoFilter ref="A1:Y25" xr:uid="{C3D003CA-1AFF-426C-A03D-D3AF5760DF1A}"/>
  <sortState xmlns:xlrd2="http://schemas.microsoft.com/office/spreadsheetml/2017/richdata2" ref="A2:Y25">
    <sortCondition ref="D1:D25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2" tableType="queryTable" totalsRowShown="0">
  <autoFilter ref="A1:U22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7" tableType="queryTable" totalsRowShown="0">
  <autoFilter ref="A1:P17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3"/>
  <sheetViews>
    <sheetView workbookViewId="0">
      <selection activeCell="F3" sqref="F3"/>
    </sheetView>
  </sheetViews>
  <sheetFormatPr defaultRowHeight="14.4" x14ac:dyDescent="0.3"/>
  <cols>
    <col min="1" max="1" width="18.33203125" bestFit="1" customWidth="1"/>
    <col min="2" max="2" width="45" bestFit="1" customWidth="1"/>
    <col min="3" max="3" width="18.109375" bestFit="1" customWidth="1"/>
    <col min="4" max="4" width="11.6640625" bestFit="1" customWidth="1"/>
    <col min="5" max="5" width="22.44140625" bestFit="1" customWidth="1"/>
    <col min="6" max="6" width="24.21875" bestFit="1" customWidth="1"/>
    <col min="7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69</v>
      </c>
      <c r="B2" t="s">
        <v>70</v>
      </c>
      <c r="C2" t="s">
        <v>71</v>
      </c>
      <c r="D2">
        <v>3</v>
      </c>
      <c r="E2">
        <v>1</v>
      </c>
      <c r="F2">
        <v>720</v>
      </c>
      <c r="G2">
        <f t="shared" ref="G2:G3" si="0">0.95</f>
        <v>0.95</v>
      </c>
    </row>
    <row r="3" spans="1:7" x14ac:dyDescent="0.3">
      <c r="A3" t="s">
        <v>67</v>
      </c>
      <c r="B3" t="s">
        <v>70</v>
      </c>
      <c r="C3" t="s">
        <v>72</v>
      </c>
      <c r="D3">
        <v>3</v>
      </c>
      <c r="E3">
        <v>1</v>
      </c>
      <c r="F3">
        <v>0</v>
      </c>
      <c r="G3">
        <f t="shared" si="0"/>
        <v>0.95</v>
      </c>
    </row>
  </sheetData>
  <phoneticPr fontId="2" type="noConversion"/>
  <conditionalFormatting sqref="D1:D3">
    <cfRule type="expression" dxfId="35" priority="1">
      <formula>D1=3</formula>
    </cfRule>
    <cfRule type="expression" dxfId="34" priority="2">
      <formula>D1=2</formula>
    </cfRule>
    <cfRule type="expression" dxfId="33" priority="3">
      <formula>D1=1</formula>
    </cfRule>
    <cfRule type="expression" dxfId="32" priority="4">
      <formula>D1=0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26"/>
  <sheetViews>
    <sheetView tabSelected="1" workbookViewId="0"/>
  </sheetViews>
  <sheetFormatPr defaultRowHeight="14.4" x14ac:dyDescent="0.3"/>
  <cols>
    <col min="1" max="1" width="33.21875" customWidth="1"/>
    <col min="2" max="2" width="28.6640625" bestFit="1" customWidth="1"/>
    <col min="3" max="4" width="12.5546875" bestFit="1" customWidth="1"/>
    <col min="5" max="5" width="28.6640625" bestFit="1" customWidth="1"/>
    <col min="6" max="6" width="19.5546875" bestFit="1" customWidth="1"/>
    <col min="7" max="7" width="12" bestFit="1" customWidth="1"/>
    <col min="8" max="8" width="26.6640625" bestFit="1" customWidth="1"/>
    <col min="9" max="9" width="26.77734375" bestFit="1" customWidth="1"/>
    <col min="10" max="10" width="27.109375" bestFit="1" customWidth="1"/>
    <col min="11" max="11" width="16" bestFit="1" customWidth="1"/>
    <col min="12" max="12" width="16.33203125" bestFit="1" customWidth="1"/>
    <col min="13" max="13" width="29.10937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6640625" bestFit="1" customWidth="1"/>
    <col min="20" max="20" width="12" bestFit="1" customWidth="1"/>
    <col min="21" max="21" width="26.6640625" bestFit="1" customWidth="1"/>
    <col min="22" max="22" width="21.77734375" bestFit="1" customWidth="1"/>
    <col min="23" max="23" width="22.109375" bestFit="1" customWidth="1"/>
    <col min="24" max="24" width="16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9" bestFit="1" customWidth="1"/>
    <col min="31" max="31" width="24.6640625" bestFit="1" customWidth="1"/>
    <col min="32" max="32" width="10.109375" bestFit="1" customWidth="1"/>
    <col min="33" max="33" width="29.109375" bestFit="1" customWidth="1"/>
    <col min="34" max="34" width="19.5546875" bestFit="1" customWidth="1"/>
    <col min="35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6640625" bestFit="1" customWidth="1"/>
    <col min="42" max="42" width="10.109375" bestFit="1" customWidth="1"/>
    <col min="43" max="43" width="29.109375" bestFit="1" customWidth="1"/>
    <col min="44" max="44" width="19.5546875" bestFit="1" customWidth="1"/>
    <col min="45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9" bestFit="1" customWidth="1"/>
    <col min="51" max="51" width="26.33203125" bestFit="1" customWidth="1"/>
    <col min="52" max="53" width="27" bestFit="1" customWidth="1"/>
    <col min="54" max="54" width="24.88671875" bestFit="1" customWidth="1"/>
    <col min="55" max="55" width="29.21875" bestFit="1" customWidth="1"/>
    <col min="56" max="56" width="31.88671875" bestFit="1" customWidth="1"/>
    <col min="57" max="57" width="21.7773437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69</v>
      </c>
      <c r="B3" t="s">
        <v>73</v>
      </c>
      <c r="C3" t="s">
        <v>74</v>
      </c>
      <c r="D3" t="s">
        <v>75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549</v>
      </c>
      <c r="O3" t="s">
        <v>67</v>
      </c>
      <c r="P3" t="s">
        <v>98</v>
      </c>
      <c r="Q3" t="s">
        <v>99</v>
      </c>
      <c r="R3" t="s">
        <v>100</v>
      </c>
      <c r="S3" s="5">
        <v>0</v>
      </c>
      <c r="T3" s="5">
        <v>2E+20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123</v>
      </c>
      <c r="AM3" t="s">
        <v>118</v>
      </c>
      <c r="AN3" t="s">
        <v>124</v>
      </c>
      <c r="AO3" s="5">
        <v>0</v>
      </c>
      <c r="AP3" s="5">
        <v>4E+20</v>
      </c>
      <c r="AQ3" s="5">
        <v>0</v>
      </c>
      <c r="AR3" s="5">
        <v>0</v>
      </c>
      <c r="AS3" s="5">
        <v>0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3">
      <c r="B4" t="s">
        <v>76</v>
      </c>
      <c r="C4" t="s">
        <v>74</v>
      </c>
      <c r="D4" t="s">
        <v>75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2423</v>
      </c>
      <c r="Q4" t="s">
        <v>101</v>
      </c>
      <c r="R4" t="s">
        <v>100</v>
      </c>
      <c r="S4" s="5">
        <v>0</v>
      </c>
      <c r="T4" s="5">
        <v>2E+20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L4" t="s">
        <v>109</v>
      </c>
      <c r="AM4" t="s">
        <v>110</v>
      </c>
      <c r="AN4" t="s">
        <v>100</v>
      </c>
      <c r="AO4" s="5">
        <v>0</v>
      </c>
      <c r="AP4" s="5">
        <v>4E+20</v>
      </c>
      <c r="AQ4" s="5">
        <v>0</v>
      </c>
      <c r="AR4" s="5">
        <v>0</v>
      </c>
      <c r="AS4" s="5">
        <v>0</v>
      </c>
    </row>
    <row r="5" spans="1:52" x14ac:dyDescent="0.3">
      <c r="B5" t="s">
        <v>77</v>
      </c>
      <c r="C5" t="s">
        <v>74</v>
      </c>
      <c r="D5" t="s">
        <v>75</v>
      </c>
      <c r="E5" s="5">
        <v>0.372363703391213</v>
      </c>
      <c r="F5" s="5">
        <v>1</v>
      </c>
      <c r="G5" s="5">
        <v>3E+20</v>
      </c>
      <c r="H5" s="5">
        <v>0</v>
      </c>
      <c r="I5" s="5">
        <v>0.372363703391213</v>
      </c>
      <c r="J5" s="5">
        <v>0.372363703391213</v>
      </c>
      <c r="K5" s="5">
        <v>0</v>
      </c>
      <c r="L5" s="5">
        <v>1.3874518023482401</v>
      </c>
      <c r="M5" s="5">
        <v>4898</v>
      </c>
      <c r="Q5" t="s">
        <v>102</v>
      </c>
      <c r="R5" t="s">
        <v>100</v>
      </c>
      <c r="S5" s="5">
        <v>0</v>
      </c>
      <c r="T5" s="5">
        <v>2E+20</v>
      </c>
      <c r="U5" s="5">
        <v>0</v>
      </c>
      <c r="V5" s="5">
        <v>0</v>
      </c>
      <c r="W5" s="5">
        <v>0</v>
      </c>
      <c r="X5" s="5">
        <v>44</v>
      </c>
      <c r="Y5" s="5">
        <v>44</v>
      </c>
      <c r="AL5" t="s">
        <v>111</v>
      </c>
      <c r="AM5" t="s">
        <v>112</v>
      </c>
      <c r="AN5" t="s">
        <v>100</v>
      </c>
      <c r="AO5" s="5">
        <v>0</v>
      </c>
      <c r="AP5" s="5">
        <v>4E+20</v>
      </c>
      <c r="AQ5" s="5">
        <v>0</v>
      </c>
      <c r="AR5" s="5">
        <v>0</v>
      </c>
      <c r="AS5" s="5">
        <v>0</v>
      </c>
    </row>
    <row r="6" spans="1:52" x14ac:dyDescent="0.3">
      <c r="B6" t="s">
        <v>78</v>
      </c>
      <c r="C6" t="s">
        <v>74</v>
      </c>
      <c r="D6" t="s">
        <v>75</v>
      </c>
      <c r="E6" s="5">
        <v>0.36702259243470697</v>
      </c>
      <c r="F6" s="5">
        <v>1</v>
      </c>
      <c r="G6" s="5">
        <v>3E+20</v>
      </c>
      <c r="H6" s="5">
        <v>0</v>
      </c>
      <c r="I6" s="5">
        <v>0.36702259243470697</v>
      </c>
      <c r="J6" s="5">
        <v>0.36702259243470697</v>
      </c>
      <c r="K6" s="5">
        <v>0</v>
      </c>
      <c r="L6" s="5">
        <v>1.43880377294029</v>
      </c>
      <c r="M6" s="5">
        <v>20608</v>
      </c>
      <c r="P6" t="s">
        <v>103</v>
      </c>
      <c r="Q6" t="s">
        <v>99</v>
      </c>
      <c r="R6" t="s">
        <v>100</v>
      </c>
      <c r="S6" s="5">
        <v>0</v>
      </c>
      <c r="T6" s="5">
        <v>2E+20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L6" t="s">
        <v>113</v>
      </c>
      <c r="AM6" t="s">
        <v>110</v>
      </c>
      <c r="AN6" t="s">
        <v>100</v>
      </c>
      <c r="AO6" s="5">
        <v>0</v>
      </c>
      <c r="AP6" s="5">
        <v>4E+20</v>
      </c>
      <c r="AQ6" s="5">
        <v>0</v>
      </c>
      <c r="AR6" s="5">
        <v>0</v>
      </c>
      <c r="AS6" s="5">
        <v>0</v>
      </c>
    </row>
    <row r="7" spans="1:52" x14ac:dyDescent="0.3">
      <c r="B7" t="s">
        <v>79</v>
      </c>
      <c r="C7" t="s">
        <v>80</v>
      </c>
      <c r="D7" t="s">
        <v>81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5446</v>
      </c>
      <c r="Q7" t="s">
        <v>101</v>
      </c>
      <c r="R7" t="s">
        <v>100</v>
      </c>
      <c r="S7" s="5">
        <v>0</v>
      </c>
      <c r="T7" s="5">
        <v>2E+20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L7" t="s">
        <v>114</v>
      </c>
      <c r="AM7" t="s">
        <v>112</v>
      </c>
      <c r="AN7" t="s">
        <v>100</v>
      </c>
      <c r="AO7" s="5">
        <v>0</v>
      </c>
      <c r="AP7" s="5">
        <v>4E+20</v>
      </c>
      <c r="AQ7" s="5">
        <v>0</v>
      </c>
      <c r="AR7" s="5">
        <v>0</v>
      </c>
      <c r="AS7" s="5">
        <v>0</v>
      </c>
    </row>
    <row r="8" spans="1:52" x14ac:dyDescent="0.3">
      <c r="C8" t="s">
        <v>82</v>
      </c>
      <c r="D8" t="s">
        <v>81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5446</v>
      </c>
      <c r="Q8" t="s">
        <v>102</v>
      </c>
      <c r="R8" t="s">
        <v>100</v>
      </c>
      <c r="S8" s="5">
        <v>0</v>
      </c>
      <c r="T8" s="5">
        <v>2E+20</v>
      </c>
      <c r="U8" s="5">
        <v>0</v>
      </c>
      <c r="V8" s="5">
        <v>0</v>
      </c>
      <c r="W8" s="5">
        <v>0</v>
      </c>
      <c r="X8" s="5">
        <v>18</v>
      </c>
      <c r="Y8" s="5">
        <v>18</v>
      </c>
      <c r="AL8" t="s">
        <v>115</v>
      </c>
      <c r="AM8" t="s">
        <v>116</v>
      </c>
      <c r="AN8" t="s">
        <v>81</v>
      </c>
      <c r="AO8" s="5">
        <v>0</v>
      </c>
      <c r="AP8" s="5">
        <v>4E+20</v>
      </c>
      <c r="AQ8" s="5">
        <v>0</v>
      </c>
      <c r="AR8" s="5">
        <v>0</v>
      </c>
      <c r="AS8" s="5">
        <v>0</v>
      </c>
    </row>
    <row r="9" spans="1:52" x14ac:dyDescent="0.3">
      <c r="C9" t="s">
        <v>83</v>
      </c>
      <c r="D9" t="s">
        <v>81</v>
      </c>
      <c r="E9" s="5">
        <v>0.52249347056078499</v>
      </c>
      <c r="F9" s="5">
        <v>1</v>
      </c>
      <c r="G9" s="5">
        <v>3E+20</v>
      </c>
      <c r="H9" s="5">
        <v>0</v>
      </c>
      <c r="I9" s="5">
        <v>0.52249347056078499</v>
      </c>
      <c r="J9" s="5">
        <v>0.52249347056078499</v>
      </c>
      <c r="K9" s="5">
        <v>8.3643196320956306E-2</v>
      </c>
      <c r="L9" s="5">
        <v>1.6160643644103301</v>
      </c>
      <c r="M9" s="5">
        <v>5446</v>
      </c>
      <c r="P9" t="s">
        <v>105</v>
      </c>
      <c r="Q9" t="s">
        <v>104</v>
      </c>
      <c r="R9" t="s">
        <v>75</v>
      </c>
      <c r="S9" s="5">
        <v>0</v>
      </c>
      <c r="T9" s="5">
        <v>2E+20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L9" t="s">
        <v>117</v>
      </c>
      <c r="AM9" t="s">
        <v>118</v>
      </c>
      <c r="AN9" t="s">
        <v>81</v>
      </c>
      <c r="AO9" s="5">
        <v>0</v>
      </c>
      <c r="AP9" s="5">
        <v>4E+20</v>
      </c>
      <c r="AQ9" s="5">
        <v>0</v>
      </c>
      <c r="AR9" s="5">
        <v>0</v>
      </c>
      <c r="AS9" s="5">
        <v>0</v>
      </c>
    </row>
    <row r="10" spans="1:52" x14ac:dyDescent="0.3">
      <c r="C10" t="s">
        <v>84</v>
      </c>
      <c r="D10" t="s">
        <v>81</v>
      </c>
      <c r="E10" s="5">
        <v>0</v>
      </c>
      <c r="F10" s="5">
        <v>1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5446</v>
      </c>
      <c r="P10" t="s">
        <v>106</v>
      </c>
      <c r="Q10" t="s">
        <v>104</v>
      </c>
      <c r="R10" t="s">
        <v>75</v>
      </c>
      <c r="S10" s="5">
        <v>0</v>
      </c>
      <c r="T10" s="5">
        <v>2E+20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K10" t="s">
        <v>69</v>
      </c>
      <c r="AL10" t="s">
        <v>123</v>
      </c>
      <c r="AM10" t="s">
        <v>118</v>
      </c>
      <c r="AN10" t="s">
        <v>124</v>
      </c>
      <c r="AO10" s="5">
        <v>28458</v>
      </c>
      <c r="AP10" s="5">
        <v>4E+20</v>
      </c>
      <c r="AQ10" s="5">
        <v>0</v>
      </c>
      <c r="AR10" s="5">
        <v>28458</v>
      </c>
      <c r="AS10" s="5">
        <v>28458</v>
      </c>
    </row>
    <row r="11" spans="1:52" x14ac:dyDescent="0.3">
      <c r="C11" t="s">
        <v>85</v>
      </c>
      <c r="D11" t="s">
        <v>81</v>
      </c>
      <c r="E11" s="5">
        <v>0.187629448690036</v>
      </c>
      <c r="F11" s="5">
        <v>1</v>
      </c>
      <c r="G11" s="5">
        <v>2.3171395766848801E-3</v>
      </c>
      <c r="H11" s="5">
        <v>0</v>
      </c>
      <c r="I11" s="5">
        <v>0.187629448690036</v>
      </c>
      <c r="J11" s="5">
        <v>0.187629448690036</v>
      </c>
      <c r="K11" s="5">
        <v>8.3346174138000606E-2</v>
      </c>
      <c r="L11" s="5">
        <v>0.49912841823366699</v>
      </c>
      <c r="M11" s="5">
        <v>5446</v>
      </c>
      <c r="P11" t="s">
        <v>107</v>
      </c>
      <c r="Q11" t="s">
        <v>108</v>
      </c>
      <c r="R11" t="s">
        <v>81</v>
      </c>
      <c r="S11" s="5">
        <v>0</v>
      </c>
      <c r="T11" s="5">
        <v>2E+20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L11" t="s">
        <v>109</v>
      </c>
      <c r="AM11" t="s">
        <v>110</v>
      </c>
      <c r="AN11" t="s">
        <v>100</v>
      </c>
      <c r="AO11" s="5">
        <v>2972</v>
      </c>
      <c r="AP11" s="5">
        <v>4E+20</v>
      </c>
      <c r="AQ11" s="5">
        <v>0</v>
      </c>
      <c r="AR11" s="5">
        <v>2972</v>
      </c>
      <c r="AS11" s="5">
        <v>2972</v>
      </c>
    </row>
    <row r="12" spans="1:52" x14ac:dyDescent="0.3">
      <c r="C12" t="s">
        <v>86</v>
      </c>
      <c r="D12" t="s">
        <v>81</v>
      </c>
      <c r="E12" s="5">
        <v>0.33486402187074699</v>
      </c>
      <c r="F12" s="5">
        <v>1</v>
      </c>
      <c r="G12" s="5">
        <v>3E+20</v>
      </c>
      <c r="H12" s="5">
        <v>0</v>
      </c>
      <c r="I12" s="5">
        <v>0.33486402187074699</v>
      </c>
      <c r="J12" s="5">
        <v>0.33486402187074699</v>
      </c>
      <c r="K12" s="5">
        <v>0</v>
      </c>
      <c r="L12" s="5">
        <v>1.3874518023482401</v>
      </c>
      <c r="M12" s="5">
        <v>5446</v>
      </c>
      <c r="O12" t="s">
        <v>69</v>
      </c>
      <c r="P12" t="s">
        <v>98</v>
      </c>
      <c r="Q12" t="s">
        <v>99</v>
      </c>
      <c r="R12" t="s">
        <v>100</v>
      </c>
      <c r="S12" s="5">
        <v>6.39227122584618E-2</v>
      </c>
      <c r="T12" s="5">
        <v>2.9755478368961499E-3</v>
      </c>
      <c r="U12" s="5">
        <v>0</v>
      </c>
      <c r="V12" s="5">
        <v>6.39227122584618E-2</v>
      </c>
      <c r="W12" s="5">
        <v>6.39227122584618E-2</v>
      </c>
      <c r="X12" s="5">
        <v>0</v>
      </c>
      <c r="Y12" s="5">
        <v>0.25</v>
      </c>
      <c r="AL12" t="s">
        <v>111</v>
      </c>
      <c r="AM12" t="s">
        <v>112</v>
      </c>
      <c r="AN12" t="s">
        <v>100</v>
      </c>
      <c r="AO12" s="5">
        <v>6.3922712258461994E-2</v>
      </c>
      <c r="AP12" s="5">
        <v>4E+20</v>
      </c>
      <c r="AQ12" s="5">
        <v>0</v>
      </c>
      <c r="AR12" s="5">
        <v>6.3922712258461994E-2</v>
      </c>
      <c r="AS12" s="5">
        <v>6.3922712258461994E-2</v>
      </c>
    </row>
    <row r="13" spans="1:52" x14ac:dyDescent="0.3">
      <c r="B13" t="s">
        <v>87</v>
      </c>
      <c r="C13" t="s">
        <v>80</v>
      </c>
      <c r="D13" t="s">
        <v>81</v>
      </c>
      <c r="E13" s="5">
        <v>0</v>
      </c>
      <c r="F13" s="5">
        <v>1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23012</v>
      </c>
      <c r="Q13" t="s">
        <v>101</v>
      </c>
      <c r="R13" t="s">
        <v>100</v>
      </c>
      <c r="S13" s="5">
        <v>2.8125993393723299</v>
      </c>
      <c r="T13" s="5">
        <v>0.13092410482343</v>
      </c>
      <c r="U13" s="5">
        <v>0</v>
      </c>
      <c r="V13" s="5">
        <v>2.8125993393723299</v>
      </c>
      <c r="W13" s="5">
        <v>2.8125993393723299</v>
      </c>
      <c r="X13" s="5">
        <v>0</v>
      </c>
      <c r="Y13" s="5">
        <v>11</v>
      </c>
      <c r="AL13" t="s">
        <v>113</v>
      </c>
      <c r="AM13" t="s">
        <v>110</v>
      </c>
      <c r="AN13" t="s">
        <v>100</v>
      </c>
      <c r="AO13" s="5">
        <v>25506</v>
      </c>
      <c r="AP13" s="5">
        <v>4E+20</v>
      </c>
      <c r="AQ13" s="5">
        <v>0</v>
      </c>
      <c r="AR13" s="5">
        <v>25506</v>
      </c>
      <c r="AS13" s="5">
        <v>25506</v>
      </c>
    </row>
    <row r="14" spans="1:52" x14ac:dyDescent="0.3">
      <c r="C14" t="s">
        <v>82</v>
      </c>
      <c r="D14" t="s">
        <v>81</v>
      </c>
      <c r="E14" s="5">
        <v>0</v>
      </c>
      <c r="F14" s="5">
        <v>1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23012</v>
      </c>
      <c r="Q14" t="s">
        <v>102</v>
      </c>
      <c r="R14" t="s">
        <v>100</v>
      </c>
      <c r="S14" s="5">
        <v>44</v>
      </c>
      <c r="T14" s="5">
        <v>2E+20</v>
      </c>
      <c r="U14" s="5">
        <v>0</v>
      </c>
      <c r="V14" s="5">
        <v>44</v>
      </c>
      <c r="W14" s="5">
        <v>44</v>
      </c>
      <c r="X14" s="5">
        <v>44</v>
      </c>
      <c r="Y14" s="5">
        <v>44</v>
      </c>
      <c r="AL14" t="s">
        <v>114</v>
      </c>
      <c r="AM14" t="s">
        <v>112</v>
      </c>
      <c r="AN14" t="s">
        <v>100</v>
      </c>
      <c r="AO14" s="5">
        <v>0.991032449588783</v>
      </c>
      <c r="AP14" s="5">
        <v>4E+20</v>
      </c>
      <c r="AQ14" s="5">
        <v>0</v>
      </c>
      <c r="AR14" s="5">
        <v>0.991032449588783</v>
      </c>
      <c r="AS14" s="5">
        <v>0.991032449588783</v>
      </c>
    </row>
    <row r="15" spans="1:52" x14ac:dyDescent="0.3">
      <c r="C15" t="s">
        <v>83</v>
      </c>
      <c r="D15" t="s">
        <v>81</v>
      </c>
      <c r="E15" s="5">
        <v>0.930043468826522</v>
      </c>
      <c r="F15" s="5">
        <v>1</v>
      </c>
      <c r="G15" s="5">
        <v>3E+20</v>
      </c>
      <c r="H15" s="5">
        <v>0</v>
      </c>
      <c r="I15" s="5">
        <v>0.930043468826522</v>
      </c>
      <c r="J15" s="5">
        <v>0.930043468826522</v>
      </c>
      <c r="K15" s="5">
        <v>0.26577577120815499</v>
      </c>
      <c r="L15" s="5">
        <v>2.3834786956999801</v>
      </c>
      <c r="M15" s="5">
        <v>23012</v>
      </c>
      <c r="P15" t="s">
        <v>103</v>
      </c>
      <c r="Q15" t="s">
        <v>99</v>
      </c>
      <c r="R15" t="s">
        <v>100</v>
      </c>
      <c r="S15" s="5">
        <v>0.991032449588788</v>
      </c>
      <c r="T15" s="5">
        <v>4.6088736662708097E-3</v>
      </c>
      <c r="U15" s="5">
        <v>0</v>
      </c>
      <c r="V15" s="5">
        <v>0.991032449588788</v>
      </c>
      <c r="W15" s="5">
        <v>0.991032449588788</v>
      </c>
      <c r="X15" s="5">
        <v>0</v>
      </c>
      <c r="Y15" s="5">
        <v>1</v>
      </c>
      <c r="AL15" t="s">
        <v>119</v>
      </c>
      <c r="AM15" t="s">
        <v>116</v>
      </c>
      <c r="AN15" t="s">
        <v>81</v>
      </c>
      <c r="AO15" s="5">
        <v>5448</v>
      </c>
      <c r="AP15" s="5">
        <v>4E+20</v>
      </c>
      <c r="AQ15" s="5">
        <v>0</v>
      </c>
      <c r="AR15" s="5">
        <v>5448</v>
      </c>
      <c r="AS15" s="5">
        <v>5448</v>
      </c>
    </row>
    <row r="16" spans="1:52" x14ac:dyDescent="0.3">
      <c r="C16" t="s">
        <v>84</v>
      </c>
      <c r="D16" t="s">
        <v>81</v>
      </c>
      <c r="E16" s="5">
        <v>0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23012</v>
      </c>
      <c r="Q16" t="s">
        <v>101</v>
      </c>
      <c r="R16" t="s">
        <v>100</v>
      </c>
      <c r="S16" s="5">
        <v>17.838584092598101</v>
      </c>
      <c r="T16" s="5">
        <v>8.2959725992874406E-2</v>
      </c>
      <c r="U16" s="5">
        <v>0</v>
      </c>
      <c r="V16" s="5">
        <v>17.838584092598101</v>
      </c>
      <c r="W16" s="5">
        <v>17.838584092598101</v>
      </c>
      <c r="X16" s="5">
        <v>0</v>
      </c>
      <c r="Y16" s="5">
        <v>18</v>
      </c>
      <c r="AL16" t="s">
        <v>120</v>
      </c>
      <c r="AM16" t="s">
        <v>118</v>
      </c>
      <c r="AN16" t="s">
        <v>81</v>
      </c>
      <c r="AO16" s="5">
        <v>5446</v>
      </c>
      <c r="AP16" s="5">
        <v>4E+20</v>
      </c>
      <c r="AQ16" s="5">
        <v>0</v>
      </c>
      <c r="AR16" s="5">
        <v>5446</v>
      </c>
      <c r="AS16" s="5">
        <v>5446</v>
      </c>
    </row>
    <row r="17" spans="2:45" x14ac:dyDescent="0.3">
      <c r="C17" t="s">
        <v>85</v>
      </c>
      <c r="D17" t="s">
        <v>81</v>
      </c>
      <c r="E17" s="5">
        <v>0.60145970284737105</v>
      </c>
      <c r="F17" s="5">
        <v>1</v>
      </c>
      <c r="G17" s="5">
        <v>2.7395596411102599E-3</v>
      </c>
      <c r="H17" s="5">
        <v>0</v>
      </c>
      <c r="I17" s="5">
        <v>0.60145970284737105</v>
      </c>
      <c r="J17" s="5">
        <v>0.60145970284737105</v>
      </c>
      <c r="K17" s="5">
        <v>0.251121988031969</v>
      </c>
      <c r="L17" s="5">
        <v>0.99775165090301199</v>
      </c>
      <c r="M17" s="5">
        <v>23012</v>
      </c>
      <c r="Q17" t="s">
        <v>102</v>
      </c>
      <c r="R17" t="s">
        <v>100</v>
      </c>
      <c r="S17" s="5">
        <v>18</v>
      </c>
      <c r="T17" s="5">
        <v>2E+20</v>
      </c>
      <c r="U17" s="5">
        <v>0</v>
      </c>
      <c r="V17" s="5">
        <v>18</v>
      </c>
      <c r="W17" s="5">
        <v>18</v>
      </c>
      <c r="X17" s="5">
        <v>18</v>
      </c>
      <c r="Y17" s="5">
        <v>18</v>
      </c>
      <c r="AL17" t="s">
        <v>121</v>
      </c>
      <c r="AM17" t="s">
        <v>116</v>
      </c>
      <c r="AN17" t="s">
        <v>81</v>
      </c>
      <c r="AO17" s="5">
        <v>23034</v>
      </c>
      <c r="AP17" s="5">
        <v>4E+20</v>
      </c>
      <c r="AQ17" s="5">
        <v>0</v>
      </c>
      <c r="AR17" s="5">
        <v>23034</v>
      </c>
      <c r="AS17" s="5">
        <v>23034</v>
      </c>
    </row>
    <row r="18" spans="2:45" x14ac:dyDescent="0.3">
      <c r="C18" t="s">
        <v>86</v>
      </c>
      <c r="D18" t="s">
        <v>81</v>
      </c>
      <c r="E18" s="5">
        <v>0.328583765979158</v>
      </c>
      <c r="F18" s="5">
        <v>1</v>
      </c>
      <c r="G18" s="5">
        <v>3E+20</v>
      </c>
      <c r="H18" s="5">
        <v>0</v>
      </c>
      <c r="I18" s="5">
        <v>0.328583765979158</v>
      </c>
      <c r="J18" s="5">
        <v>0.328583765979158</v>
      </c>
      <c r="K18" s="5">
        <v>0</v>
      </c>
      <c r="L18" s="5">
        <v>1.43880377294029</v>
      </c>
      <c r="M18" s="5">
        <v>23012</v>
      </c>
      <c r="P18" t="s">
        <v>73</v>
      </c>
      <c r="Q18" t="s">
        <v>104</v>
      </c>
      <c r="R18" t="s">
        <v>75</v>
      </c>
      <c r="S18" s="5">
        <v>0</v>
      </c>
      <c r="T18" s="5">
        <v>2E+20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L18" t="s">
        <v>122</v>
      </c>
      <c r="AM18" t="s">
        <v>118</v>
      </c>
      <c r="AN18" t="s">
        <v>81</v>
      </c>
      <c r="AO18" s="5">
        <v>23012</v>
      </c>
      <c r="AP18" s="5">
        <v>4E+20</v>
      </c>
      <c r="AQ18" s="5">
        <v>0</v>
      </c>
      <c r="AR18" s="5">
        <v>23012</v>
      </c>
      <c r="AS18" s="5">
        <v>23012</v>
      </c>
    </row>
    <row r="19" spans="2:45" x14ac:dyDescent="0.3">
      <c r="B19" t="s">
        <v>88</v>
      </c>
      <c r="C19" t="s">
        <v>89</v>
      </c>
      <c r="D19" t="s">
        <v>90</v>
      </c>
      <c r="E19" s="5">
        <v>0.37763609407827298</v>
      </c>
      <c r="F19" s="5">
        <v>1</v>
      </c>
      <c r="G19" s="5">
        <v>7.4914941663914896E-3</v>
      </c>
      <c r="H19" s="5">
        <v>0</v>
      </c>
      <c r="I19" s="5">
        <v>0.37763609407827298</v>
      </c>
      <c r="J19" s="5">
        <v>0.37763609407827298</v>
      </c>
      <c r="K19" s="5">
        <v>0.25006319844703701</v>
      </c>
      <c r="L19" s="5">
        <v>0.49912841823366699</v>
      </c>
      <c r="M19" s="5">
        <v>549</v>
      </c>
      <c r="P19" t="s">
        <v>76</v>
      </c>
      <c r="Q19" t="s">
        <v>104</v>
      </c>
      <c r="R19" t="s">
        <v>75</v>
      </c>
      <c r="S19" s="5">
        <v>0</v>
      </c>
      <c r="T19" s="5">
        <v>2E+20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</row>
    <row r="20" spans="2:45" x14ac:dyDescent="0.3">
      <c r="B20" t="s">
        <v>91</v>
      </c>
      <c r="C20" t="s">
        <v>89</v>
      </c>
      <c r="D20" t="s">
        <v>90</v>
      </c>
      <c r="E20" s="5">
        <v>0.75035824404615303</v>
      </c>
      <c r="F20" s="5">
        <v>1</v>
      </c>
      <c r="G20" s="5">
        <v>4.77894653042808E-3</v>
      </c>
      <c r="H20" s="5">
        <v>0</v>
      </c>
      <c r="I20" s="5">
        <v>0.75035824404615303</v>
      </c>
      <c r="J20" s="5">
        <v>0.75035824404615303</v>
      </c>
      <c r="K20" s="5">
        <v>0.50732583800881104</v>
      </c>
      <c r="L20" s="5">
        <v>0.98696203743116895</v>
      </c>
      <c r="M20" s="5">
        <v>2421</v>
      </c>
      <c r="P20" t="s">
        <v>77</v>
      </c>
      <c r="Q20" t="s">
        <v>104</v>
      </c>
      <c r="R20" t="s">
        <v>75</v>
      </c>
      <c r="S20" s="5">
        <v>2.53322317433416</v>
      </c>
      <c r="T20" s="5">
        <v>3E+20</v>
      </c>
      <c r="U20" s="5">
        <v>0</v>
      </c>
      <c r="V20" s="5">
        <v>2.53322317433416</v>
      </c>
      <c r="W20" s="5">
        <v>2.53322317433416</v>
      </c>
      <c r="X20" s="5">
        <v>0</v>
      </c>
      <c r="Y20" s="5">
        <v>14</v>
      </c>
    </row>
    <row r="21" spans="2:45" x14ac:dyDescent="0.3">
      <c r="B21" t="s">
        <v>92</v>
      </c>
      <c r="C21" t="s">
        <v>89</v>
      </c>
      <c r="D21" t="s">
        <v>90</v>
      </c>
      <c r="E21" s="5">
        <v>0.37763609407827298</v>
      </c>
      <c r="F21" s="5">
        <v>1</v>
      </c>
      <c r="G21" s="5">
        <v>7.4914941663914896E-3</v>
      </c>
      <c r="H21" s="5">
        <v>0</v>
      </c>
      <c r="I21" s="5">
        <v>0.37763609407827298</v>
      </c>
      <c r="J21" s="5">
        <v>0.37763609407827298</v>
      </c>
      <c r="K21" s="5">
        <v>0.25006319844703701</v>
      </c>
      <c r="L21" s="5">
        <v>0.49912841823366699</v>
      </c>
      <c r="M21" s="5">
        <v>549</v>
      </c>
      <c r="P21" t="s">
        <v>78</v>
      </c>
      <c r="Q21" t="s">
        <v>104</v>
      </c>
      <c r="R21" t="s">
        <v>75</v>
      </c>
      <c r="S21" s="5">
        <v>10.5052248112972</v>
      </c>
      <c r="T21" s="5">
        <v>3E+20</v>
      </c>
      <c r="U21" s="5">
        <v>0</v>
      </c>
      <c r="V21" s="5">
        <v>10.5052248112972</v>
      </c>
      <c r="W21" s="5">
        <v>10.5052248112972</v>
      </c>
      <c r="X21" s="5">
        <v>0</v>
      </c>
      <c r="Y21" s="5">
        <v>40</v>
      </c>
    </row>
    <row r="22" spans="2:45" x14ac:dyDescent="0.3">
      <c r="B22" t="s">
        <v>93</v>
      </c>
      <c r="C22" t="s">
        <v>89</v>
      </c>
      <c r="D22" t="s">
        <v>90</v>
      </c>
      <c r="E22" s="5">
        <v>0.75035824404615303</v>
      </c>
      <c r="F22" s="5">
        <v>1</v>
      </c>
      <c r="G22" s="5">
        <v>4.77894653042808E-3</v>
      </c>
      <c r="H22" s="5">
        <v>0</v>
      </c>
      <c r="I22" s="5">
        <v>0.75035824404615303</v>
      </c>
      <c r="J22" s="5">
        <v>0.75035824404615303</v>
      </c>
      <c r="K22" s="5">
        <v>0.50732583800881104</v>
      </c>
      <c r="L22" s="5">
        <v>0.98696203743116895</v>
      </c>
      <c r="M22" s="5">
        <v>2421</v>
      </c>
      <c r="P22" t="s">
        <v>79</v>
      </c>
      <c r="Q22" t="s">
        <v>108</v>
      </c>
      <c r="R22" t="s">
        <v>81</v>
      </c>
      <c r="S22" s="5">
        <v>3.9524839466180599</v>
      </c>
      <c r="T22" s="5">
        <v>3E+20</v>
      </c>
      <c r="U22" s="5">
        <v>0</v>
      </c>
      <c r="V22" s="5">
        <v>3.9524839466180599</v>
      </c>
      <c r="W22" s="5">
        <v>3.9524839466180599</v>
      </c>
      <c r="X22" s="5">
        <v>0</v>
      </c>
      <c r="Y22" s="5">
        <v>17</v>
      </c>
    </row>
    <row r="23" spans="2:45" x14ac:dyDescent="0.3">
      <c r="B23" t="s">
        <v>94</v>
      </c>
      <c r="C23" t="s">
        <v>89</v>
      </c>
      <c r="D23" t="s">
        <v>90</v>
      </c>
      <c r="E23" s="5">
        <v>0.53873335205739303</v>
      </c>
      <c r="F23" s="5">
        <v>1</v>
      </c>
      <c r="G23" s="5">
        <v>3E+20</v>
      </c>
      <c r="H23" s="5">
        <v>0</v>
      </c>
      <c r="I23" s="5">
        <v>0.53873335205739303</v>
      </c>
      <c r="J23" s="5">
        <v>0.53873335205739303</v>
      </c>
      <c r="K23" s="5">
        <v>8.3643196320956306E-2</v>
      </c>
      <c r="L23" s="5">
        <v>1.6160643644103301</v>
      </c>
      <c r="M23" s="5">
        <v>4897</v>
      </c>
      <c r="P23" t="s">
        <v>87</v>
      </c>
      <c r="Q23" t="s">
        <v>108</v>
      </c>
      <c r="R23" t="s">
        <v>81</v>
      </c>
      <c r="S23" s="5">
        <v>29.737147470983899</v>
      </c>
      <c r="T23" s="5">
        <v>3E+20</v>
      </c>
      <c r="U23" s="5">
        <v>0</v>
      </c>
      <c r="V23" s="5">
        <v>29.737147470983899</v>
      </c>
      <c r="W23" s="5">
        <v>29.737147470983899</v>
      </c>
      <c r="X23" s="5">
        <v>0</v>
      </c>
      <c r="Y23" s="5">
        <v>59</v>
      </c>
    </row>
    <row r="24" spans="2:45" x14ac:dyDescent="0.3">
      <c r="B24" t="s">
        <v>95</v>
      </c>
      <c r="C24" t="s">
        <v>89</v>
      </c>
      <c r="D24" t="s">
        <v>90</v>
      </c>
      <c r="E24" s="5">
        <v>0.95117007410034704</v>
      </c>
      <c r="F24" s="5">
        <v>1</v>
      </c>
      <c r="G24" s="5">
        <v>3E+20</v>
      </c>
      <c r="H24" s="5">
        <v>0</v>
      </c>
      <c r="I24" s="5">
        <v>0.95117007410034704</v>
      </c>
      <c r="J24" s="5">
        <v>0.95117007410034704</v>
      </c>
      <c r="K24" s="5">
        <v>0.26577577120815499</v>
      </c>
      <c r="L24" s="5">
        <v>2.3834786956999801</v>
      </c>
      <c r="M24" s="5">
        <v>20591</v>
      </c>
    </row>
    <row r="25" spans="2:45" x14ac:dyDescent="0.3">
      <c r="B25" t="s">
        <v>96</v>
      </c>
      <c r="C25" t="s">
        <v>89</v>
      </c>
      <c r="D25" t="s">
        <v>90</v>
      </c>
      <c r="E25" s="5">
        <v>0.53873335205739303</v>
      </c>
      <c r="F25" s="5">
        <v>1</v>
      </c>
      <c r="G25" s="5">
        <v>3E+20</v>
      </c>
      <c r="H25" s="5">
        <v>0</v>
      </c>
      <c r="I25" s="5">
        <v>0.53873335205739303</v>
      </c>
      <c r="J25" s="5">
        <v>0.53873335205739303</v>
      </c>
      <c r="K25" s="5">
        <v>8.3643196320956306E-2</v>
      </c>
      <c r="L25" s="5">
        <v>1.6160643644103301</v>
      </c>
      <c r="M25" s="5">
        <v>4897</v>
      </c>
    </row>
    <row r="26" spans="2:45" x14ac:dyDescent="0.3">
      <c r="B26" t="s">
        <v>97</v>
      </c>
      <c r="C26" t="s">
        <v>89</v>
      </c>
      <c r="D26" t="s">
        <v>90</v>
      </c>
      <c r="E26" s="5">
        <v>0.95117007410034704</v>
      </c>
      <c r="F26" s="5">
        <v>1</v>
      </c>
      <c r="G26" s="5">
        <v>3E+20</v>
      </c>
      <c r="H26" s="5">
        <v>0</v>
      </c>
      <c r="I26" s="5">
        <v>0.95117007410034704</v>
      </c>
      <c r="J26" s="5">
        <v>0.95117007410034704</v>
      </c>
      <c r="K26" s="5">
        <v>0.26577577120815499</v>
      </c>
      <c r="L26" s="5">
        <v>2.3834786956999801</v>
      </c>
      <c r="M26" s="5">
        <v>20591</v>
      </c>
    </row>
  </sheetData>
  <dataConsolidate/>
  <conditionalFormatting pivot="1" sqref="G3:G26">
    <cfRule type="expression" dxfId="31" priority="14">
      <formula>G3=200000000000000000000</formula>
    </cfRule>
  </conditionalFormatting>
  <conditionalFormatting pivot="1" sqref="T3:T23">
    <cfRule type="expression" dxfId="30" priority="13">
      <formula>T3=200000000000000000000</formula>
    </cfRule>
  </conditionalFormatting>
  <conditionalFormatting pivot="1" sqref="T3:T23">
    <cfRule type="expression" dxfId="29" priority="12">
      <formula>T3=300000000000000000000</formula>
    </cfRule>
  </conditionalFormatting>
  <conditionalFormatting pivot="1" sqref="G3:G26">
    <cfRule type="expression" dxfId="28" priority="11">
      <formula>G3=300000000000000000000</formula>
    </cfRule>
  </conditionalFormatting>
  <conditionalFormatting pivot="1" sqref="F3:F26">
    <cfRule type="expression" dxfId="27" priority="10">
      <formula>F3=0</formula>
    </cfRule>
  </conditionalFormatting>
  <conditionalFormatting pivot="1" sqref="F3:F26">
    <cfRule type="expression" dxfId="26" priority="9">
      <formula>F3=1</formula>
    </cfRule>
  </conditionalFormatting>
  <conditionalFormatting pivot="1" sqref="T3:T23">
    <cfRule type="expression" dxfId="25" priority="8">
      <formula>T3=400000000000000000000</formula>
    </cfRule>
  </conditionalFormatting>
  <conditionalFormatting pivot="1" sqref="AP3:AP18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26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5"/>
  <sheetViews>
    <sheetView workbookViewId="0">
      <selection activeCell="A2" sqref="A2:K61"/>
    </sheetView>
  </sheetViews>
  <sheetFormatPr defaultRowHeight="14.4" x14ac:dyDescent="0.3"/>
  <cols>
    <col min="1" max="1" width="18.33203125" bestFit="1" customWidth="1"/>
    <col min="2" max="2" width="21.21875" bestFit="1" customWidth="1"/>
    <col min="3" max="3" width="12.5546875" bestFit="1" customWidth="1"/>
    <col min="4" max="4" width="47" bestFit="1" customWidth="1"/>
    <col min="5" max="5" width="12.21875" bestFit="1" customWidth="1"/>
    <col min="6" max="6" width="12.5546875" bestFit="1" customWidth="1"/>
    <col min="7" max="7" width="12" bestFit="1" customWidth="1"/>
    <col min="8" max="8" width="22.33203125" bestFit="1" customWidth="1"/>
    <col min="9" max="10" width="12" bestFit="1" customWidth="1"/>
    <col min="11" max="11" width="21.33203125" bestFit="1" customWidth="1"/>
    <col min="12" max="12" width="80.88671875" bestFit="1" customWidth="1"/>
    <col min="13" max="13" width="16.21875" bestFit="1" customWidth="1"/>
    <col min="14" max="14" width="19.109375" customWidth="1"/>
    <col min="15" max="15" width="17.109375" bestFit="1" customWidth="1"/>
    <col min="16" max="16" width="19.44140625" bestFit="1" customWidth="1"/>
    <col min="17" max="17" width="11.6640625" bestFit="1" customWidth="1"/>
    <col min="18" max="18" width="18.44140625" bestFit="1" customWidth="1"/>
    <col min="19" max="19" width="18.77734375" customWidth="1"/>
    <col min="20" max="20" width="17.44140625" customWidth="1"/>
    <col min="21" max="21" width="17.77734375" customWidth="1"/>
    <col min="22" max="22" width="28.44140625" bestFit="1" customWidth="1"/>
    <col min="23" max="23" width="20" bestFit="1" customWidth="1"/>
    <col min="24" max="24" width="22.77734375" bestFit="1" customWidth="1"/>
    <col min="25" max="25" width="21.332031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69</v>
      </c>
      <c r="B2" t="s">
        <v>71</v>
      </c>
      <c r="C2">
        <v>1</v>
      </c>
      <c r="D2" t="s">
        <v>73</v>
      </c>
      <c r="E2" t="s">
        <v>74</v>
      </c>
      <c r="F2" t="s">
        <v>75</v>
      </c>
      <c r="G2">
        <v>0</v>
      </c>
      <c r="H2">
        <v>0</v>
      </c>
      <c r="I2">
        <v>0</v>
      </c>
      <c r="J2">
        <v>0</v>
      </c>
      <c r="K2">
        <v>549</v>
      </c>
      <c r="L2" t="str">
        <f>DiscreteStatsTable[[#This Row],[ProjectName]]&amp;DiscreteStatsTable[[#This Row],[Name]]&amp;DiscreteStatsTable[[#This Row],[Type]]&amp;DiscreteStatsTable[[#This Row],[Source]]</f>
        <v>CSE10L-Final_ProjectProcess boarding and travel by Bus Off Peak.QueueWaiting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549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69</v>
      </c>
      <c r="B3" t="s">
        <v>71</v>
      </c>
      <c r="C3">
        <v>1</v>
      </c>
      <c r="D3" t="s">
        <v>76</v>
      </c>
      <c r="E3" t="s">
        <v>74</v>
      </c>
      <c r="F3" t="s">
        <v>75</v>
      </c>
      <c r="G3">
        <v>0</v>
      </c>
      <c r="H3">
        <v>0</v>
      </c>
      <c r="I3">
        <v>0</v>
      </c>
      <c r="J3">
        <v>0</v>
      </c>
      <c r="K3">
        <v>2423</v>
      </c>
      <c r="L3" t="str">
        <f>DiscreteStatsTable[[#This Row],[ProjectName]]&amp;DiscreteStatsTable[[#This Row],[Name]]&amp;DiscreteStatsTable[[#This Row],[Type]]&amp;DiscreteStatsTable[[#This Row],[Source]]</f>
        <v>CSE10L-Final_ProjectProcess boarding and travel by Bus Peak.QueueWaiting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2423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69</v>
      </c>
      <c r="B4" t="s">
        <v>71</v>
      </c>
      <c r="C4">
        <v>1</v>
      </c>
      <c r="D4" t="s">
        <v>77</v>
      </c>
      <c r="E4" t="s">
        <v>74</v>
      </c>
      <c r="F4" t="s">
        <v>75</v>
      </c>
      <c r="G4">
        <v>0.372363703391213</v>
      </c>
      <c r="H4">
        <v>3E+20</v>
      </c>
      <c r="I4">
        <v>0</v>
      </c>
      <c r="J4">
        <v>1.3874518023482401</v>
      </c>
      <c r="K4">
        <v>4898</v>
      </c>
      <c r="L4" t="str">
        <f>DiscreteStatsTable[[#This Row],[ProjectName]]&amp;DiscreteStatsTable[[#This Row],[Name]]&amp;DiscreteStatsTable[[#This Row],[Type]]&amp;DiscreteStatsTable[[#This Row],[Source]]</f>
        <v>CSE10L-Final_ProjectProcess boarding and travel by Jeepney Off Peak.QueueWaiting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0.372363703391213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0.372363703391213</v>
      </c>
      <c r="S4" cm="1">
        <f t="array" ref="S4">MAX(IF((DiscreteStatsTable[GroupByKey]=DiscreteStatsTable[[#This Row],[GroupByKey]]),(DiscreteStatsTable[GroupByKey]=DiscreteStatsTable[[#This Row],[GroupByKey]])*DiscreteStatsTable[Average]))</f>
        <v>0.372363703391213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1.3874518023482401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4898</v>
      </c>
      <c r="W4">
        <f>IF((DiscreteStatsTable[[#This Row],[RepsRequested]]&gt;1),DiscreteStatsTable[[#This Row],[HalfWidth]],DiscreteStatsTable[[#This Row],[BatchMeansHalfWidth]])</f>
        <v>3E+20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69</v>
      </c>
      <c r="B5" t="s">
        <v>71</v>
      </c>
      <c r="C5">
        <v>1</v>
      </c>
      <c r="D5" t="s">
        <v>78</v>
      </c>
      <c r="E5" t="s">
        <v>74</v>
      </c>
      <c r="F5" t="s">
        <v>75</v>
      </c>
      <c r="G5">
        <v>0.36702259243470697</v>
      </c>
      <c r="H5">
        <v>3E+20</v>
      </c>
      <c r="I5">
        <v>0</v>
      </c>
      <c r="J5">
        <v>1.43880377294029</v>
      </c>
      <c r="K5">
        <v>20608</v>
      </c>
      <c r="L5" t="str">
        <f>DiscreteStatsTable[[#This Row],[ProjectName]]&amp;DiscreteStatsTable[[#This Row],[Name]]&amp;DiscreteStatsTable[[#This Row],[Type]]&amp;DiscreteStatsTable[[#This Row],[Source]]</f>
        <v>CSE10L-Final_ProjectProcess boarding and travel by Jeepney Peak.QueueWaiting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0.36702259243470697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0.36702259243470697</v>
      </c>
      <c r="S5" cm="1">
        <f t="array" ref="S5">MAX(IF((DiscreteStatsTable[GroupByKey]=DiscreteStatsTable[[#This Row],[GroupByKey]]),(DiscreteStatsTable[GroupByKey]=DiscreteStatsTable[[#This Row],[GroupByKey]])*DiscreteStatsTable[Average]))</f>
        <v>0.36702259243470697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1.43880377294029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20608</v>
      </c>
      <c r="W5">
        <f>IF((DiscreteStatsTable[[#This Row],[RepsRequested]]&gt;1),DiscreteStatsTable[[#This Row],[HalfWidth]],DiscreteStatsTable[[#This Row],[BatchMeansHalfWidth]])</f>
        <v>3E+20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69</v>
      </c>
      <c r="B6" t="s">
        <v>71</v>
      </c>
      <c r="C6">
        <v>1</v>
      </c>
      <c r="D6" t="s">
        <v>79</v>
      </c>
      <c r="E6" t="s">
        <v>80</v>
      </c>
      <c r="F6" t="s">
        <v>81</v>
      </c>
      <c r="G6">
        <v>0</v>
      </c>
      <c r="H6">
        <v>0</v>
      </c>
      <c r="I6">
        <v>0</v>
      </c>
      <c r="J6">
        <v>0</v>
      </c>
      <c r="K6">
        <v>5446</v>
      </c>
      <c r="L6" t="str">
        <f>DiscreteStatsTable[[#This Row],[ProjectName]]&amp;DiscreteStatsTable[[#This Row],[Name]]&amp;DiscreteStatsTable[[#This Row],[Type]]&amp;DiscreteStatsTable[[#This Row],[Source]]</f>
        <v>CSE10L-Final_ProjectStudent Off PeakNVA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5446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69</v>
      </c>
      <c r="B7" t="s">
        <v>71</v>
      </c>
      <c r="C7">
        <v>1</v>
      </c>
      <c r="D7" t="s">
        <v>79</v>
      </c>
      <c r="E7" t="s">
        <v>82</v>
      </c>
      <c r="F7" t="s">
        <v>81</v>
      </c>
      <c r="G7">
        <v>0</v>
      </c>
      <c r="H7">
        <v>0</v>
      </c>
      <c r="I7">
        <v>0</v>
      </c>
      <c r="J7">
        <v>0</v>
      </c>
      <c r="K7">
        <v>5446</v>
      </c>
      <c r="L7" t="str">
        <f>DiscreteStatsTable[[#This Row],[ProjectName]]&amp;DiscreteStatsTable[[#This Row],[Name]]&amp;DiscreteStatsTable[[#This Row],[Type]]&amp;DiscreteStatsTable[[#This Row],[Source]]</f>
        <v>CSE10L-Final_ProjectStudent Off PeakOther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5446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69</v>
      </c>
      <c r="B8" t="s">
        <v>71</v>
      </c>
      <c r="C8">
        <v>1</v>
      </c>
      <c r="D8" t="s">
        <v>79</v>
      </c>
      <c r="E8" t="s">
        <v>83</v>
      </c>
      <c r="F8" t="s">
        <v>81</v>
      </c>
      <c r="G8">
        <v>0.52249347056078499</v>
      </c>
      <c r="H8">
        <v>3E+20</v>
      </c>
      <c r="I8">
        <v>8.3643196320956306E-2</v>
      </c>
      <c r="J8">
        <v>1.6160643644103301</v>
      </c>
      <c r="K8">
        <v>5446</v>
      </c>
      <c r="L8" t="str">
        <f>DiscreteStatsTable[[#This Row],[ProjectName]]&amp;DiscreteStatsTable[[#This Row],[Name]]&amp;DiscreteStatsTable[[#This Row],[Type]]&amp;DiscreteStatsTable[[#This Row],[Source]]</f>
        <v>CSE10L-Final_ProjectStudent Off PeakTotal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0.52249347056078499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0.52249347056078499</v>
      </c>
      <c r="S8" cm="1">
        <f t="array" ref="S8">MAX(IF((DiscreteStatsTable[GroupByKey]=DiscreteStatsTable[[#This Row],[GroupByKey]]),(DiscreteStatsTable[GroupByKey]=DiscreteStatsTable[[#This Row],[GroupByKey]])*DiscreteStatsTable[Average]))</f>
        <v>0.52249347056078499</v>
      </c>
      <c r="T8" cm="1">
        <f t="array" ref="T8">MIN(IF((DiscreteStatsTable[GroupByKey]=DiscreteStatsTable[[#This Row],[GroupByKey]]),(DiscreteStatsTable[GroupByKey]=DiscreteStatsTable[[#This Row],[GroupByKey]])*DiscreteStatsTable[Minimum]))</f>
        <v>8.3643196320956306E-2</v>
      </c>
      <c r="U8" cm="1">
        <f t="array" ref="U8">MAX(IF((DiscreteStatsTable[GroupByKey]=DiscreteStatsTable[[#This Row],[GroupByKey]]),(DiscreteStatsTable[GroupByKey]=DiscreteStatsTable[[#This Row],[GroupByKey]])*DiscreteStatsTable[Maximum]))</f>
        <v>1.6160643644103301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5446</v>
      </c>
      <c r="W8">
        <f>IF((DiscreteStatsTable[[#This Row],[RepsRequested]]&gt;1),DiscreteStatsTable[[#This Row],[HalfWidth]],DiscreteStatsTable[[#This Row],[BatchMeansHalfWidth]])</f>
        <v>3E+20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69</v>
      </c>
      <c r="B9" t="s">
        <v>71</v>
      </c>
      <c r="C9">
        <v>1</v>
      </c>
      <c r="D9" t="s">
        <v>79</v>
      </c>
      <c r="E9" t="s">
        <v>84</v>
      </c>
      <c r="F9" t="s">
        <v>81</v>
      </c>
      <c r="G9">
        <v>0</v>
      </c>
      <c r="H9">
        <v>0</v>
      </c>
      <c r="I9">
        <v>0</v>
      </c>
      <c r="J9">
        <v>0</v>
      </c>
      <c r="K9">
        <v>5446</v>
      </c>
      <c r="L9" t="str">
        <f>DiscreteStatsTable[[#This Row],[ProjectName]]&amp;DiscreteStatsTable[[#This Row],[Name]]&amp;DiscreteStatsTable[[#This Row],[Type]]&amp;DiscreteStatsTable[[#This Row],[Source]]</f>
        <v>CSE10L-Final_ProjectStudent Off PeakTransfer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5446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69</v>
      </c>
      <c r="B10" t="s">
        <v>71</v>
      </c>
      <c r="C10">
        <v>1</v>
      </c>
      <c r="D10" t="s">
        <v>79</v>
      </c>
      <c r="E10" t="s">
        <v>85</v>
      </c>
      <c r="F10" t="s">
        <v>81</v>
      </c>
      <c r="G10">
        <v>0.187629448690036</v>
      </c>
      <c r="H10">
        <v>2.3171395766848801E-3</v>
      </c>
      <c r="I10">
        <v>8.3346174138000606E-2</v>
      </c>
      <c r="J10">
        <v>0.49912841823366699</v>
      </c>
      <c r="K10">
        <v>5446</v>
      </c>
      <c r="L10" t="str">
        <f>DiscreteStatsTable[[#This Row],[ProjectName]]&amp;DiscreteStatsTable[[#This Row],[Name]]&amp;DiscreteStatsTable[[#This Row],[Type]]&amp;DiscreteStatsTable[[#This Row],[Source]]</f>
        <v>CSE10L-Final_ProjectStudent Off PeakVA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0.187629448690036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0.187629448690036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0.187629448690036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8.3346174138000606E-2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0.49912841823366699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5446</v>
      </c>
      <c r="W10">
        <f>IF((DiscreteStatsTable[[#This Row],[RepsRequested]]&gt;1),DiscreteStatsTable[[#This Row],[HalfWidth]],DiscreteStatsTable[[#This Row],[BatchMeansHalfWidth]])</f>
        <v>2.3171395766848801E-3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69</v>
      </c>
      <c r="B11" t="s">
        <v>71</v>
      </c>
      <c r="C11">
        <v>1</v>
      </c>
      <c r="D11" t="s">
        <v>79</v>
      </c>
      <c r="E11" t="s">
        <v>86</v>
      </c>
      <c r="F11" t="s">
        <v>81</v>
      </c>
      <c r="G11">
        <v>0.33486402187074699</v>
      </c>
      <c r="H11">
        <v>3E+20</v>
      </c>
      <c r="I11">
        <v>0</v>
      </c>
      <c r="J11">
        <v>1.3874518023482401</v>
      </c>
      <c r="K11">
        <v>5446</v>
      </c>
      <c r="L11" t="str">
        <f>DiscreteStatsTable[[#This Row],[ProjectName]]&amp;DiscreteStatsTable[[#This Row],[Name]]&amp;DiscreteStatsTable[[#This Row],[Type]]&amp;DiscreteStatsTable[[#This Row],[Source]]</f>
        <v>CSE10L-Final_ProjectStudent Off PeakWait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0.33486402187074699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0.33486402187074699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0.33486402187074699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1.3874518023482401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5446</v>
      </c>
      <c r="W11">
        <f>IF((DiscreteStatsTable[[#This Row],[RepsRequested]]&gt;1),DiscreteStatsTable[[#This Row],[HalfWidth]],DiscreteStatsTable[[#This Row],[BatchMeansHalfWidth]])</f>
        <v>3E+20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69</v>
      </c>
      <c r="B12" t="s">
        <v>71</v>
      </c>
      <c r="C12">
        <v>1</v>
      </c>
      <c r="D12" t="s">
        <v>87</v>
      </c>
      <c r="E12" t="s">
        <v>80</v>
      </c>
      <c r="F12" t="s">
        <v>81</v>
      </c>
      <c r="G12">
        <v>0</v>
      </c>
      <c r="H12">
        <v>0</v>
      </c>
      <c r="I12">
        <v>0</v>
      </c>
      <c r="J12">
        <v>0</v>
      </c>
      <c r="K12">
        <v>23012</v>
      </c>
      <c r="L12" t="str">
        <f>DiscreteStatsTable[[#This Row],[ProjectName]]&amp;DiscreteStatsTable[[#This Row],[Name]]&amp;DiscreteStatsTable[[#This Row],[Type]]&amp;DiscreteStatsTable[[#This Row],[Source]]</f>
        <v>CSE10L-Final_ProjectStudent PeakNVA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23012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69</v>
      </c>
      <c r="B13" t="s">
        <v>71</v>
      </c>
      <c r="C13">
        <v>1</v>
      </c>
      <c r="D13" t="s">
        <v>87</v>
      </c>
      <c r="E13" t="s">
        <v>82</v>
      </c>
      <c r="F13" t="s">
        <v>81</v>
      </c>
      <c r="G13">
        <v>0</v>
      </c>
      <c r="H13">
        <v>0</v>
      </c>
      <c r="I13">
        <v>0</v>
      </c>
      <c r="J13">
        <v>0</v>
      </c>
      <c r="K13">
        <v>23012</v>
      </c>
      <c r="L13" t="str">
        <f>DiscreteStatsTable[[#This Row],[ProjectName]]&amp;DiscreteStatsTable[[#This Row],[Name]]&amp;DiscreteStatsTable[[#This Row],[Type]]&amp;DiscreteStatsTable[[#This Row],[Source]]</f>
        <v>CSE10L-Final_ProjectStudent PeakOther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23012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69</v>
      </c>
      <c r="B14" t="s">
        <v>71</v>
      </c>
      <c r="C14">
        <v>1</v>
      </c>
      <c r="D14" t="s">
        <v>87</v>
      </c>
      <c r="E14" t="s">
        <v>83</v>
      </c>
      <c r="F14" t="s">
        <v>81</v>
      </c>
      <c r="G14">
        <v>0.930043468826522</v>
      </c>
      <c r="H14">
        <v>3E+20</v>
      </c>
      <c r="I14">
        <v>0.26577577120815499</v>
      </c>
      <c r="J14">
        <v>2.3834786956999801</v>
      </c>
      <c r="K14">
        <v>23012</v>
      </c>
      <c r="L14" t="str">
        <f>DiscreteStatsTable[[#This Row],[ProjectName]]&amp;DiscreteStatsTable[[#This Row],[Name]]&amp;DiscreteStatsTable[[#This Row],[Type]]&amp;DiscreteStatsTable[[#This Row],[Source]]</f>
        <v>CSE10L-Final_ProjectStudent PeakTotal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0.930043468826522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0.930043468826522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0.930043468826522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0.26577577120815499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2.3834786956999801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23012</v>
      </c>
      <c r="W14">
        <f>IF((DiscreteStatsTable[[#This Row],[RepsRequested]]&gt;1),DiscreteStatsTable[[#This Row],[HalfWidth]],DiscreteStatsTable[[#This Row],[BatchMeansHalfWidth]])</f>
        <v>3E+20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69</v>
      </c>
      <c r="B15" t="s">
        <v>71</v>
      </c>
      <c r="C15">
        <v>1</v>
      </c>
      <c r="D15" t="s">
        <v>87</v>
      </c>
      <c r="E15" t="s">
        <v>84</v>
      </c>
      <c r="F15" t="s">
        <v>81</v>
      </c>
      <c r="G15">
        <v>0</v>
      </c>
      <c r="H15">
        <v>0</v>
      </c>
      <c r="I15">
        <v>0</v>
      </c>
      <c r="J15">
        <v>0</v>
      </c>
      <c r="K15">
        <v>23012</v>
      </c>
      <c r="L15" t="str">
        <f>DiscreteStatsTable[[#This Row],[ProjectName]]&amp;DiscreteStatsTable[[#This Row],[Name]]&amp;DiscreteStatsTable[[#This Row],[Type]]&amp;DiscreteStatsTable[[#This Row],[Source]]</f>
        <v>CSE10L-Final_ProjectStudent PeakTransfer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23012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69</v>
      </c>
      <c r="B16" t="s">
        <v>71</v>
      </c>
      <c r="C16">
        <v>1</v>
      </c>
      <c r="D16" t="s">
        <v>87</v>
      </c>
      <c r="E16" t="s">
        <v>85</v>
      </c>
      <c r="F16" t="s">
        <v>81</v>
      </c>
      <c r="G16">
        <v>0.60145970284737105</v>
      </c>
      <c r="H16">
        <v>2.7395596411102599E-3</v>
      </c>
      <c r="I16">
        <v>0.251121988031969</v>
      </c>
      <c r="J16">
        <v>0.99775165090301199</v>
      </c>
      <c r="K16">
        <v>23012</v>
      </c>
      <c r="L16" t="str">
        <f>DiscreteStatsTable[[#This Row],[ProjectName]]&amp;DiscreteStatsTable[[#This Row],[Name]]&amp;DiscreteStatsTable[[#This Row],[Type]]&amp;DiscreteStatsTable[[#This Row],[Source]]</f>
        <v>CSE10L-Final_ProjectStudent PeakVA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0.60145970284737105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0.60145970284737105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0.60145970284737105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0.251121988031969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0.99775165090301199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23012</v>
      </c>
      <c r="W16">
        <f>IF((DiscreteStatsTable[[#This Row],[RepsRequested]]&gt;1),DiscreteStatsTable[[#This Row],[HalfWidth]],DiscreteStatsTable[[#This Row],[BatchMeansHalfWidth]])</f>
        <v>2.7395596411102599E-3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69</v>
      </c>
      <c r="B17" t="s">
        <v>71</v>
      </c>
      <c r="C17">
        <v>1</v>
      </c>
      <c r="D17" t="s">
        <v>87</v>
      </c>
      <c r="E17" t="s">
        <v>86</v>
      </c>
      <c r="F17" t="s">
        <v>81</v>
      </c>
      <c r="G17">
        <v>0.328583765979158</v>
      </c>
      <c r="H17">
        <v>3E+20</v>
      </c>
      <c r="I17">
        <v>0</v>
      </c>
      <c r="J17">
        <v>1.43880377294029</v>
      </c>
      <c r="K17">
        <v>23012</v>
      </c>
      <c r="L17" t="str">
        <f>DiscreteStatsTable[[#This Row],[ProjectName]]&amp;DiscreteStatsTable[[#This Row],[Name]]&amp;DiscreteStatsTable[[#This Row],[Type]]&amp;DiscreteStatsTable[[#This Row],[Source]]</f>
        <v>CSE10L-Final_ProjectStudent PeakWait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0.328583765979158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0.328583765979158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0.328583765979158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1.43880377294029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23012</v>
      </c>
      <c r="W17">
        <f>IF((DiscreteStatsTable[[#This Row],[RepsRequested]]&gt;1),DiscreteStatsTable[[#This Row],[HalfWidth]],DiscreteStatsTable[[#This Row],[BatchMeansHalfWidth]])</f>
        <v>3E+20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69</v>
      </c>
      <c r="B18" t="s">
        <v>71</v>
      </c>
      <c r="C18">
        <v>1</v>
      </c>
      <c r="D18" t="s">
        <v>88</v>
      </c>
      <c r="E18" t="s">
        <v>89</v>
      </c>
      <c r="F18" t="s">
        <v>90</v>
      </c>
      <c r="G18">
        <v>0.37763609407827298</v>
      </c>
      <c r="H18">
        <v>7.4914941663914896E-3</v>
      </c>
      <c r="I18">
        <v>0.25006319844703701</v>
      </c>
      <c r="J18">
        <v>0.49912841823366699</v>
      </c>
      <c r="K18">
        <v>549</v>
      </c>
      <c r="L18" t="str">
        <f>DiscreteStatsTable[[#This Row],[ProjectName]]&amp;DiscreteStatsTable[[#This Row],[Name]]&amp;DiscreteStatsTable[[#This Row],[Type]]&amp;DiscreteStatsTable[[#This Row],[Source]]</f>
        <v>CSE10L-Final_ProjectTally Bus Boarding Off PeakIntervalUser Specified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0.37763609407827298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0.37763609407827298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0.37763609407827298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0.25006319844703701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0.49912841823366699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549</v>
      </c>
      <c r="W18">
        <f>IF((DiscreteStatsTable[[#This Row],[RepsRequested]]&gt;1),DiscreteStatsTable[[#This Row],[HalfWidth]],DiscreteStatsTable[[#This Row],[BatchMeansHalfWidth]])</f>
        <v>7.4914941663914896E-3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1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69</v>
      </c>
      <c r="B19" t="s">
        <v>71</v>
      </c>
      <c r="C19">
        <v>1</v>
      </c>
      <c r="D19" t="s">
        <v>91</v>
      </c>
      <c r="E19" t="s">
        <v>89</v>
      </c>
      <c r="F19" t="s">
        <v>90</v>
      </c>
      <c r="G19">
        <v>0.75035824404615303</v>
      </c>
      <c r="H19">
        <v>4.77894653042808E-3</v>
      </c>
      <c r="I19">
        <v>0.50732583800881104</v>
      </c>
      <c r="J19">
        <v>0.98696203743116895</v>
      </c>
      <c r="K19">
        <v>2421</v>
      </c>
      <c r="L19" t="str">
        <f>DiscreteStatsTable[[#This Row],[ProjectName]]&amp;DiscreteStatsTable[[#This Row],[Name]]&amp;DiscreteStatsTable[[#This Row],[Type]]&amp;DiscreteStatsTable[[#This Row],[Source]]</f>
        <v>CSE10L-Final_ProjectTally Bus Boarding PeakIntervalUser Specified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0.75035824404615303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0.75035824404615303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0.75035824404615303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0.50732583800881104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0.98696203743116895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2421</v>
      </c>
      <c r="W19">
        <f>IF((DiscreteStatsTable[[#This Row],[RepsRequested]]&gt;1),DiscreteStatsTable[[#This Row],[HalfWidth]],DiscreteStatsTable[[#This Row],[BatchMeansHalfWidth]])</f>
        <v>4.77894653042808E-3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1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69</v>
      </c>
      <c r="B20" t="s">
        <v>71</v>
      </c>
      <c r="C20">
        <v>1</v>
      </c>
      <c r="D20" t="s">
        <v>92</v>
      </c>
      <c r="E20" t="s">
        <v>89</v>
      </c>
      <c r="F20" t="s">
        <v>90</v>
      </c>
      <c r="G20">
        <v>0.37763609407827298</v>
      </c>
      <c r="H20">
        <v>7.4914941663914896E-3</v>
      </c>
      <c r="I20">
        <v>0.25006319844703701</v>
      </c>
      <c r="J20">
        <v>0.49912841823366699</v>
      </c>
      <c r="K20">
        <v>549</v>
      </c>
      <c r="L20" t="str">
        <f>DiscreteStatsTable[[#This Row],[ProjectName]]&amp;DiscreteStatsTable[[#This Row],[Name]]&amp;DiscreteStatsTable[[#This Row],[Type]]&amp;DiscreteStatsTable[[#This Row],[Source]]</f>
        <v>CSE10L-Final_ProjectTally Bus Travel Off PeakIntervalUser Specified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0.37763609407827298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0.37763609407827298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0.37763609407827298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0.25006319844703701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0.49912841823366699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549</v>
      </c>
      <c r="W20">
        <f>IF((DiscreteStatsTable[[#This Row],[RepsRequested]]&gt;1),DiscreteStatsTable[[#This Row],[HalfWidth]],DiscreteStatsTable[[#This Row],[BatchMeansHalfWidth]])</f>
        <v>7.4914941663914896E-3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1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69</v>
      </c>
      <c r="B21" t="s">
        <v>71</v>
      </c>
      <c r="C21">
        <v>1</v>
      </c>
      <c r="D21" t="s">
        <v>93</v>
      </c>
      <c r="E21" t="s">
        <v>89</v>
      </c>
      <c r="F21" t="s">
        <v>90</v>
      </c>
      <c r="G21">
        <v>0.75035824404615303</v>
      </c>
      <c r="H21">
        <v>4.77894653042808E-3</v>
      </c>
      <c r="I21">
        <v>0.50732583800881104</v>
      </c>
      <c r="J21">
        <v>0.98696203743116895</v>
      </c>
      <c r="K21">
        <v>2421</v>
      </c>
      <c r="L21" t="str">
        <f>DiscreteStatsTable[[#This Row],[ProjectName]]&amp;DiscreteStatsTable[[#This Row],[Name]]&amp;DiscreteStatsTable[[#This Row],[Type]]&amp;DiscreteStatsTable[[#This Row],[Source]]</f>
        <v>CSE10L-Final_ProjectTally Bus Travel PeakIntervalUser Specified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0.75035824404615303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0.75035824404615303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0.75035824404615303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0.50732583800881104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0.98696203743116895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2421</v>
      </c>
      <c r="W21">
        <f>IF((DiscreteStatsTable[[#This Row],[RepsRequested]]&gt;1),DiscreteStatsTable[[#This Row],[HalfWidth]],DiscreteStatsTable[[#This Row],[BatchMeansHalfWidth]])</f>
        <v>4.77894653042808E-3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1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69</v>
      </c>
      <c r="B22" t="s">
        <v>71</v>
      </c>
      <c r="C22">
        <v>1</v>
      </c>
      <c r="D22" t="s">
        <v>94</v>
      </c>
      <c r="E22" t="s">
        <v>89</v>
      </c>
      <c r="F22" t="s">
        <v>90</v>
      </c>
      <c r="G22">
        <v>0.53873335205739303</v>
      </c>
      <c r="H22">
        <v>3E+20</v>
      </c>
      <c r="I22">
        <v>8.3643196320956306E-2</v>
      </c>
      <c r="J22">
        <v>1.6160643644103301</v>
      </c>
      <c r="K22">
        <v>4897</v>
      </c>
      <c r="L22" t="str">
        <f>DiscreteStatsTable[[#This Row],[ProjectName]]&amp;DiscreteStatsTable[[#This Row],[Name]]&amp;DiscreteStatsTable[[#This Row],[Type]]&amp;DiscreteStatsTable[[#This Row],[Source]]</f>
        <v>CSE10L-Final_ProjectTally Jeepney Boarding Off PeakIntervalUser Specified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1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0.53873335205739303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0.53873335205739303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0.53873335205739303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8.3643196320956306E-2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1.6160643644103301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4897</v>
      </c>
      <c r="W22">
        <f>IF((DiscreteStatsTable[[#This Row],[RepsRequested]]&gt;1),DiscreteStatsTable[[#This Row],[HalfWidth]],DiscreteStatsTable[[#This Row],[BatchMeansHalfWidth]])</f>
        <v>3E+20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1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69</v>
      </c>
      <c r="B23" t="s">
        <v>71</v>
      </c>
      <c r="C23">
        <v>1</v>
      </c>
      <c r="D23" t="s">
        <v>95</v>
      </c>
      <c r="E23" t="s">
        <v>89</v>
      </c>
      <c r="F23" t="s">
        <v>90</v>
      </c>
      <c r="G23">
        <v>0.95117007410034704</v>
      </c>
      <c r="H23">
        <v>3E+20</v>
      </c>
      <c r="I23">
        <v>0.26577577120815499</v>
      </c>
      <c r="J23">
        <v>2.3834786956999801</v>
      </c>
      <c r="K23">
        <v>20591</v>
      </c>
      <c r="L23" t="str">
        <f>DiscreteStatsTable[[#This Row],[ProjectName]]&amp;DiscreteStatsTable[[#This Row],[Name]]&amp;DiscreteStatsTable[[#This Row],[Type]]&amp;DiscreteStatsTable[[#This Row],[Source]]</f>
        <v>CSE10L-Final_ProjectTally Jeepney Boarding PeakIntervalUser Specified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1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0.95117007410034704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0.95117007410034704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0.95117007410034704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0.26577577120815499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2.3834786956999801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20591</v>
      </c>
      <c r="W23">
        <f>IF((DiscreteStatsTable[[#This Row],[RepsRequested]]&gt;1),DiscreteStatsTable[[#This Row],[HalfWidth]],DiscreteStatsTable[[#This Row],[BatchMeansHalfWidth]])</f>
        <v>3E+20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1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69</v>
      </c>
      <c r="B24" t="s">
        <v>71</v>
      </c>
      <c r="C24">
        <v>1</v>
      </c>
      <c r="D24" t="s">
        <v>96</v>
      </c>
      <c r="E24" t="s">
        <v>89</v>
      </c>
      <c r="F24" t="s">
        <v>90</v>
      </c>
      <c r="G24">
        <v>0.53873335205739303</v>
      </c>
      <c r="H24">
        <v>3E+20</v>
      </c>
      <c r="I24">
        <v>8.3643196320956306E-2</v>
      </c>
      <c r="J24">
        <v>1.6160643644103301</v>
      </c>
      <c r="K24">
        <v>4897</v>
      </c>
      <c r="L24" t="str">
        <f>DiscreteStatsTable[[#This Row],[ProjectName]]&amp;DiscreteStatsTable[[#This Row],[Name]]&amp;DiscreteStatsTable[[#This Row],[Type]]&amp;DiscreteStatsTable[[#This Row],[Source]]</f>
        <v>CSE10L-Final_ProjectTally Jeepney Travel Off PeakIntervalUser Specified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1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0.53873335205739303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0.53873335205739303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0.53873335205739303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8.3643196320956306E-2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1.6160643644103301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4897</v>
      </c>
      <c r="W24">
        <f>IF((DiscreteStatsTable[[#This Row],[RepsRequested]]&gt;1),DiscreteStatsTable[[#This Row],[HalfWidth]],DiscreteStatsTable[[#This Row],[BatchMeansHalfWidth]])</f>
        <v>3E+20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1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69</v>
      </c>
      <c r="B25" t="s">
        <v>71</v>
      </c>
      <c r="C25">
        <v>1</v>
      </c>
      <c r="D25" t="s">
        <v>97</v>
      </c>
      <c r="E25" t="s">
        <v>89</v>
      </c>
      <c r="F25" t="s">
        <v>90</v>
      </c>
      <c r="G25">
        <v>0.95117007410034704</v>
      </c>
      <c r="H25">
        <v>3E+20</v>
      </c>
      <c r="I25">
        <v>0.26577577120815499</v>
      </c>
      <c r="J25">
        <v>2.3834786956999801</v>
      </c>
      <c r="K25">
        <v>20591</v>
      </c>
      <c r="L25" t="str">
        <f>DiscreteStatsTable[[#This Row],[ProjectName]]&amp;DiscreteStatsTable[[#This Row],[Name]]&amp;DiscreteStatsTable[[#This Row],[Type]]&amp;DiscreteStatsTable[[#This Row],[Source]]</f>
        <v>CSE10L-Final_ProjectTally Jeepney Travel PeakIntervalUser Specified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1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0.95117007410034704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0.95117007410034704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0.95117007410034704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0.26577577120815499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2.3834786956999801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20591</v>
      </c>
      <c r="W25">
        <f>IF((DiscreteStatsTable[[#This Row],[RepsRequested]]&gt;1),DiscreteStatsTable[[#This Row],[HalfWidth]],DiscreteStatsTable[[#This Row],[BatchMeansHalfWidth]])</f>
        <v>3E+20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1</v>
      </c>
      <c r="Y25">
        <f>IF(DiscreteStatsTable[[#This Row],[RepsRequested]]=DiscreteStatsTable[[#This Row],[RepsWithStatObserved]],1,0)</f>
        <v>1</v>
      </c>
    </row>
  </sheetData>
  <phoneticPr fontId="2" type="noConversion"/>
  <conditionalFormatting sqref="H2:H25 Q2:Q25">
    <cfRule type="expression" dxfId="20" priority="23">
      <formula>H2=200000000000000000000</formula>
    </cfRule>
  </conditionalFormatting>
  <conditionalFormatting sqref="H2:H25">
    <cfRule type="expression" dxfId="19" priority="21">
      <formula>H2=300000000000000000000</formula>
    </cfRule>
  </conditionalFormatting>
  <conditionalFormatting sqref="L2:Y25">
    <cfRule type="expression" dxfId="18" priority="19">
      <formula>MOD(ROW(),2)=0</formula>
    </cfRule>
  </conditionalFormatting>
  <conditionalFormatting sqref="Y2:Y25">
    <cfRule type="expression" dxfId="17" priority="14">
      <formula>Y2=0</formula>
    </cfRule>
    <cfRule type="expression" dxfId="16" priority="16">
      <formula>Y2=1</formula>
    </cfRule>
  </conditionalFormatting>
  <conditionalFormatting sqref="Y3:Y25">
    <cfRule type="expression" dxfId="15" priority="15">
      <formula>Y3=1</formula>
    </cfRule>
  </conditionalFormatting>
  <conditionalFormatting sqref="W2:W25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25 W2:W25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2"/>
  <sheetViews>
    <sheetView workbookViewId="0">
      <selection activeCell="A2" sqref="A2:L11"/>
    </sheetView>
  </sheetViews>
  <sheetFormatPr defaultRowHeight="14.4" x14ac:dyDescent="0.3"/>
  <cols>
    <col min="1" max="1" width="18.33203125" bestFit="1" customWidth="1"/>
    <col min="2" max="2" width="21.21875" bestFit="1" customWidth="1"/>
    <col min="3" max="3" width="12.5546875" bestFit="1" customWidth="1"/>
    <col min="4" max="4" width="47" bestFit="1" customWidth="1"/>
    <col min="5" max="5" width="21.6640625" bestFit="1" customWidth="1"/>
    <col min="6" max="6" width="9" bestFit="1" customWidth="1"/>
    <col min="7" max="7" width="12" bestFit="1" customWidth="1"/>
    <col min="8" max="8" width="22.33203125" bestFit="1" customWidth="1"/>
    <col min="9" max="9" width="11.44140625" bestFit="1" customWidth="1"/>
    <col min="10" max="10" width="11.77734375" bestFit="1" customWidth="1"/>
    <col min="11" max="11" width="19.5546875" bestFit="1" customWidth="1"/>
    <col min="12" max="12" width="11.33203125" bestFit="1" customWidth="1"/>
    <col min="13" max="13" width="80.88671875" bestFit="1" customWidth="1"/>
    <col min="14" max="14" width="16.21875" bestFit="1" customWidth="1"/>
    <col min="15" max="15" width="19.109375" bestFit="1" customWidth="1"/>
    <col min="16" max="16" width="17.109375" bestFit="1" customWidth="1"/>
    <col min="17" max="17" width="19.44140625" bestFit="1" customWidth="1"/>
    <col min="18" max="18" width="11.6640625" bestFit="1" customWidth="1"/>
    <col min="19" max="19" width="18.44140625" bestFit="1" customWidth="1"/>
    <col min="20" max="20" width="18.77734375" bestFit="1" customWidth="1"/>
    <col min="21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67</v>
      </c>
      <c r="B2" t="s">
        <v>72</v>
      </c>
      <c r="C2">
        <v>1</v>
      </c>
      <c r="D2" t="s">
        <v>98</v>
      </c>
      <c r="E2" t="s">
        <v>99</v>
      </c>
      <c r="F2" t="s">
        <v>100</v>
      </c>
      <c r="G2">
        <v>0</v>
      </c>
      <c r="H2">
        <v>2E+20</v>
      </c>
      <c r="I2">
        <v>0</v>
      </c>
      <c r="J2">
        <v>0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ProjectBusInstantaneous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3">
      <c r="A3" t="s">
        <v>69</v>
      </c>
      <c r="B3" t="s">
        <v>71</v>
      </c>
      <c r="C3">
        <v>1</v>
      </c>
      <c r="D3" t="s">
        <v>98</v>
      </c>
      <c r="E3" t="s">
        <v>99</v>
      </c>
      <c r="F3" t="s">
        <v>100</v>
      </c>
      <c r="G3">
        <v>6.39227122584618E-2</v>
      </c>
      <c r="H3">
        <v>2.9755478368961499E-3</v>
      </c>
      <c r="I3">
        <v>0</v>
      </c>
      <c r="J3">
        <v>0.25</v>
      </c>
      <c r="K3">
        <v>4.5454545454545497E-2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CSE10L-Final_ProjectBusInstantaneous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6.39227122584618E-2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6.39227122584618E-2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6.39227122584618E-2</v>
      </c>
      <c r="U3">
        <f>IF((ContinuousStatsTable[[#This Row],[RepsRequested]]&gt;1),ContinuousStatsTable[[#This Row],[HalfWidth]],ContinuousStatsTable[[#This Row],[BatchMeansHalfWidth]])</f>
        <v>2.9755478368961499E-3</v>
      </c>
    </row>
    <row r="4" spans="1:21" x14ac:dyDescent="0.3">
      <c r="A4" t="s">
        <v>67</v>
      </c>
      <c r="B4" t="s">
        <v>72</v>
      </c>
      <c r="C4">
        <v>1</v>
      </c>
      <c r="D4" t="s">
        <v>98</v>
      </c>
      <c r="E4" t="s">
        <v>101</v>
      </c>
      <c r="F4" t="s">
        <v>100</v>
      </c>
      <c r="G4">
        <v>0</v>
      </c>
      <c r="H4">
        <v>2E+20</v>
      </c>
      <c r="I4">
        <v>0</v>
      </c>
      <c r="J4">
        <v>0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ProjectBusNumber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">
      <c r="A5" t="s">
        <v>69</v>
      </c>
      <c r="B5" t="s">
        <v>71</v>
      </c>
      <c r="C5">
        <v>1</v>
      </c>
      <c r="D5" t="s">
        <v>98</v>
      </c>
      <c r="E5" t="s">
        <v>101</v>
      </c>
      <c r="F5" t="s">
        <v>100</v>
      </c>
      <c r="G5">
        <v>2.8125993393723299</v>
      </c>
      <c r="H5">
        <v>0.13092410482343</v>
      </c>
      <c r="I5">
        <v>0</v>
      </c>
      <c r="J5">
        <v>11</v>
      </c>
      <c r="K5">
        <v>2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CSE10L-Final_ProjectBusNumber BusyResource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2.8125993393723299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2.8125993393723299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2.8125993393723299</v>
      </c>
      <c r="U5">
        <f>IF((ContinuousStatsTable[[#This Row],[RepsRequested]]&gt;1),ContinuousStatsTable[[#This Row],[HalfWidth]],ContinuousStatsTable[[#This Row],[BatchMeansHalfWidth]])</f>
        <v>0.13092410482343</v>
      </c>
    </row>
    <row r="6" spans="1:21" x14ac:dyDescent="0.3">
      <c r="A6" t="s">
        <v>67</v>
      </c>
      <c r="B6" t="s">
        <v>72</v>
      </c>
      <c r="C6">
        <v>1</v>
      </c>
      <c r="D6" t="s">
        <v>98</v>
      </c>
      <c r="E6" t="s">
        <v>102</v>
      </c>
      <c r="F6" t="s">
        <v>100</v>
      </c>
      <c r="G6">
        <v>0</v>
      </c>
      <c r="H6">
        <v>2E+20</v>
      </c>
      <c r="I6">
        <v>44</v>
      </c>
      <c r="J6">
        <v>44</v>
      </c>
      <c r="K6">
        <v>44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ProjectBusNumber ScheduledResource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">
      <c r="A7" t="s">
        <v>69</v>
      </c>
      <c r="B7" t="s">
        <v>71</v>
      </c>
      <c r="C7">
        <v>1</v>
      </c>
      <c r="D7" t="s">
        <v>98</v>
      </c>
      <c r="E7" t="s">
        <v>102</v>
      </c>
      <c r="F7" t="s">
        <v>100</v>
      </c>
      <c r="G7">
        <v>44</v>
      </c>
      <c r="H7">
        <v>2E+20</v>
      </c>
      <c r="I7">
        <v>44</v>
      </c>
      <c r="J7">
        <v>44</v>
      </c>
      <c r="K7">
        <v>44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CSE10L-Final_ProjectBusNumber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44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44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44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3">
      <c r="A8" t="s">
        <v>67</v>
      </c>
      <c r="B8" t="s">
        <v>72</v>
      </c>
      <c r="C8">
        <v>1</v>
      </c>
      <c r="D8" t="s">
        <v>103</v>
      </c>
      <c r="E8" t="s">
        <v>99</v>
      </c>
      <c r="F8" t="s">
        <v>100</v>
      </c>
      <c r="G8">
        <v>0</v>
      </c>
      <c r="H8">
        <v>2E+20</v>
      </c>
      <c r="I8">
        <v>0</v>
      </c>
      <c r="J8">
        <v>0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ProjectJeepneyInstantaneous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</v>
      </c>
      <c r="U8">
        <f>IF((ContinuousStatsTable[[#This Row],[RepsRequested]]&gt;1),ContinuousStatsTable[[#This Row],[HalfWidth]],ContinuousStatsTable[[#This Row],[BatchMeansHalfWidth]])</f>
        <v>2E+20</v>
      </c>
    </row>
    <row r="9" spans="1:21" x14ac:dyDescent="0.3">
      <c r="A9" t="s">
        <v>69</v>
      </c>
      <c r="B9" t="s">
        <v>71</v>
      </c>
      <c r="C9">
        <v>1</v>
      </c>
      <c r="D9" t="s">
        <v>103</v>
      </c>
      <c r="E9" t="s">
        <v>99</v>
      </c>
      <c r="F9" t="s">
        <v>100</v>
      </c>
      <c r="G9">
        <v>0.991032449588788</v>
      </c>
      <c r="H9">
        <v>4.6088736662708097E-3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CSE10L-Final_ProjectJeepneyInstantaneous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0.991032449588788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0.991032449588788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0.991032449588788</v>
      </c>
      <c r="U9">
        <f>IF((ContinuousStatsTable[[#This Row],[RepsRequested]]&gt;1),ContinuousStatsTable[[#This Row],[HalfWidth]],ContinuousStatsTable[[#This Row],[BatchMeansHalfWidth]])</f>
        <v>4.6088736662708097E-3</v>
      </c>
    </row>
    <row r="10" spans="1:21" x14ac:dyDescent="0.3">
      <c r="A10" t="s">
        <v>67</v>
      </c>
      <c r="B10" t="s">
        <v>72</v>
      </c>
      <c r="C10">
        <v>1</v>
      </c>
      <c r="D10" t="s">
        <v>103</v>
      </c>
      <c r="E10" t="s">
        <v>101</v>
      </c>
      <c r="F10" t="s">
        <v>100</v>
      </c>
      <c r="G10">
        <v>0</v>
      </c>
      <c r="H10">
        <v>2E+20</v>
      </c>
      <c r="I10">
        <v>0</v>
      </c>
      <c r="J10">
        <v>0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ProjectJeepneyNumber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</v>
      </c>
      <c r="U10">
        <f>IF((ContinuousStatsTable[[#This Row],[RepsRequested]]&gt;1),ContinuousStatsTable[[#This Row],[HalfWidth]],ContinuousStatsTable[[#This Row],[BatchMeansHalfWidth]])</f>
        <v>2E+20</v>
      </c>
    </row>
    <row r="11" spans="1:21" x14ac:dyDescent="0.3">
      <c r="A11" t="s">
        <v>69</v>
      </c>
      <c r="B11" t="s">
        <v>71</v>
      </c>
      <c r="C11">
        <v>1</v>
      </c>
      <c r="D11" t="s">
        <v>103</v>
      </c>
      <c r="E11" t="s">
        <v>101</v>
      </c>
      <c r="F11" t="s">
        <v>100</v>
      </c>
      <c r="G11">
        <v>17.838584092598101</v>
      </c>
      <c r="H11">
        <v>8.2959725992874406E-2</v>
      </c>
      <c r="I11">
        <v>0</v>
      </c>
      <c r="J11">
        <v>18</v>
      </c>
      <c r="K11">
        <v>18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CSE10L-Final_ProjectJeepneyNumber BusyResource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17.838584092598101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17.838584092598101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17.838584092598101</v>
      </c>
      <c r="U11">
        <f>IF((ContinuousStatsTable[[#This Row],[RepsRequested]]&gt;1),ContinuousStatsTable[[#This Row],[HalfWidth]],ContinuousStatsTable[[#This Row],[BatchMeansHalfWidth]])</f>
        <v>8.2959725992874406E-2</v>
      </c>
    </row>
    <row r="12" spans="1:21" x14ac:dyDescent="0.3">
      <c r="A12" t="s">
        <v>67</v>
      </c>
      <c r="B12" t="s">
        <v>72</v>
      </c>
      <c r="C12">
        <v>1</v>
      </c>
      <c r="D12" t="s">
        <v>103</v>
      </c>
      <c r="E12" t="s">
        <v>102</v>
      </c>
      <c r="F12" t="s">
        <v>100</v>
      </c>
      <c r="G12">
        <v>0</v>
      </c>
      <c r="H12">
        <v>2E+20</v>
      </c>
      <c r="I12">
        <v>18</v>
      </c>
      <c r="J12">
        <v>18</v>
      </c>
      <c r="K12">
        <v>18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ProjectJeepneyNumber ScheduledResource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</v>
      </c>
      <c r="U12" s="5">
        <f>IF((ContinuousStatsTable[[#This Row],[RepsRequested]]&gt;1),ContinuousStatsTable[[#This Row],[HalfWidth]],ContinuousStatsTable[[#This Row],[BatchMeansHalfWidth]])</f>
        <v>2E+20</v>
      </c>
    </row>
    <row r="13" spans="1:21" x14ac:dyDescent="0.3">
      <c r="A13" t="s">
        <v>69</v>
      </c>
      <c r="B13" t="s">
        <v>71</v>
      </c>
      <c r="C13">
        <v>1</v>
      </c>
      <c r="D13" t="s">
        <v>103</v>
      </c>
      <c r="E13" t="s">
        <v>102</v>
      </c>
      <c r="F13" t="s">
        <v>100</v>
      </c>
      <c r="G13">
        <v>18</v>
      </c>
      <c r="H13">
        <v>2E+20</v>
      </c>
      <c r="I13">
        <v>18</v>
      </c>
      <c r="J13">
        <v>18</v>
      </c>
      <c r="K13">
        <v>18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CSE10L-Final_ProjectJeepneyNumber ScheduledResource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18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18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18</v>
      </c>
      <c r="U13" s="5">
        <f>IF((ContinuousStatsTable[[#This Row],[RepsRequested]]&gt;1),ContinuousStatsTable[[#This Row],[HalfWidth]],ContinuousStatsTable[[#This Row],[BatchMeansHalfWidth]])</f>
        <v>2E+20</v>
      </c>
    </row>
    <row r="14" spans="1:21" x14ac:dyDescent="0.3">
      <c r="A14" t="s">
        <v>69</v>
      </c>
      <c r="B14" t="s">
        <v>71</v>
      </c>
      <c r="C14">
        <v>1</v>
      </c>
      <c r="D14" t="s">
        <v>73</v>
      </c>
      <c r="E14" t="s">
        <v>104</v>
      </c>
      <c r="F14" t="s">
        <v>75</v>
      </c>
      <c r="G14">
        <v>0</v>
      </c>
      <c r="H14">
        <v>2E+20</v>
      </c>
      <c r="I14">
        <v>0</v>
      </c>
      <c r="J14">
        <v>0</v>
      </c>
      <c r="K14">
        <v>0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CSE10L-Final_ProjectProcess boarding and travel by Bus Off Peak.QueueNumber WaitingQueue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0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0</v>
      </c>
      <c r="U14" s="5">
        <f>IF((ContinuousStatsTable[[#This Row],[RepsRequested]]&gt;1),ContinuousStatsTable[[#This Row],[HalfWidth]],ContinuousStatsTable[[#This Row],[BatchMeansHalfWidth]])</f>
        <v>2E+20</v>
      </c>
    </row>
    <row r="15" spans="1:21" x14ac:dyDescent="0.3">
      <c r="A15" t="s">
        <v>69</v>
      </c>
      <c r="B15" t="s">
        <v>71</v>
      </c>
      <c r="C15">
        <v>1</v>
      </c>
      <c r="D15" t="s">
        <v>76</v>
      </c>
      <c r="E15" t="s">
        <v>104</v>
      </c>
      <c r="F15" t="s">
        <v>75</v>
      </c>
      <c r="G15">
        <v>0</v>
      </c>
      <c r="H15">
        <v>2E+20</v>
      </c>
      <c r="I15">
        <v>0</v>
      </c>
      <c r="J15">
        <v>0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CSE10L-Final_ProjectProcess boarding and travel by Bus Peak.QueueNumber WaitingQueue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</v>
      </c>
      <c r="U15" s="5">
        <f>IF((ContinuousStatsTable[[#This Row],[RepsRequested]]&gt;1),ContinuousStatsTable[[#This Row],[HalfWidth]],ContinuousStatsTable[[#This Row],[BatchMeansHalfWidth]])</f>
        <v>2E+20</v>
      </c>
    </row>
    <row r="16" spans="1:21" x14ac:dyDescent="0.3">
      <c r="A16" t="s">
        <v>67</v>
      </c>
      <c r="B16" t="s">
        <v>72</v>
      </c>
      <c r="C16">
        <v>1</v>
      </c>
      <c r="D16" t="s">
        <v>105</v>
      </c>
      <c r="E16" t="s">
        <v>104</v>
      </c>
      <c r="F16" t="s">
        <v>75</v>
      </c>
      <c r="G16">
        <v>0</v>
      </c>
      <c r="H16">
        <v>2E+20</v>
      </c>
      <c r="I16">
        <v>0</v>
      </c>
      <c r="J16">
        <v>0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ProjectProcess boarding and travel by Bus.QueueNumber WaitingQueue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0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0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</v>
      </c>
      <c r="U16" s="5">
        <f>IF((ContinuousStatsTable[[#This Row],[RepsRequested]]&gt;1),ContinuousStatsTable[[#This Row],[HalfWidth]],ContinuousStatsTable[[#This Row],[BatchMeansHalfWidth]])</f>
        <v>2E+20</v>
      </c>
    </row>
    <row r="17" spans="1:21" x14ac:dyDescent="0.3">
      <c r="A17" t="s">
        <v>69</v>
      </c>
      <c r="B17" t="s">
        <v>71</v>
      </c>
      <c r="C17">
        <v>1</v>
      </c>
      <c r="D17" t="s">
        <v>77</v>
      </c>
      <c r="E17" t="s">
        <v>104</v>
      </c>
      <c r="F17" t="s">
        <v>75</v>
      </c>
      <c r="G17">
        <v>2.53322317433416</v>
      </c>
      <c r="H17">
        <v>3E+20</v>
      </c>
      <c r="I17">
        <v>0</v>
      </c>
      <c r="J17">
        <v>14</v>
      </c>
      <c r="K17">
        <v>1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CSE10L-Final_ProjectProcess boarding and travel by Jeepney Off Peak.QueueNumber WaitingQueue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2.53322317433416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2.53322317433416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2.53322317433416</v>
      </c>
      <c r="U17" s="5">
        <f>IF((ContinuousStatsTable[[#This Row],[RepsRequested]]&gt;1),ContinuousStatsTable[[#This Row],[HalfWidth]],ContinuousStatsTable[[#This Row],[BatchMeansHalfWidth]])</f>
        <v>3E+20</v>
      </c>
    </row>
    <row r="18" spans="1:21" x14ac:dyDescent="0.3">
      <c r="A18" t="s">
        <v>69</v>
      </c>
      <c r="B18" t="s">
        <v>71</v>
      </c>
      <c r="C18">
        <v>1</v>
      </c>
      <c r="D18" t="s">
        <v>78</v>
      </c>
      <c r="E18" t="s">
        <v>104</v>
      </c>
      <c r="F18" t="s">
        <v>75</v>
      </c>
      <c r="G18">
        <v>10.5052248112972</v>
      </c>
      <c r="H18">
        <v>3E+20</v>
      </c>
      <c r="I18">
        <v>0</v>
      </c>
      <c r="J18">
        <v>40</v>
      </c>
      <c r="K18">
        <v>3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CSE10L-Final_ProjectProcess boarding and travel by Jeepney Peak.QueueNumber WaitingQueue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10.5052248112972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10.5052248112972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10.5052248112972</v>
      </c>
      <c r="U18" s="5">
        <f>IF((ContinuousStatsTable[[#This Row],[RepsRequested]]&gt;1),ContinuousStatsTable[[#This Row],[HalfWidth]],ContinuousStatsTable[[#This Row],[BatchMeansHalfWidth]])</f>
        <v>3E+20</v>
      </c>
    </row>
    <row r="19" spans="1:21" x14ac:dyDescent="0.3">
      <c r="A19" t="s">
        <v>67</v>
      </c>
      <c r="B19" t="s">
        <v>72</v>
      </c>
      <c r="C19">
        <v>1</v>
      </c>
      <c r="D19" t="s">
        <v>106</v>
      </c>
      <c r="E19" t="s">
        <v>104</v>
      </c>
      <c r="F19" t="s">
        <v>75</v>
      </c>
      <c r="G19">
        <v>0</v>
      </c>
      <c r="H19">
        <v>2E+20</v>
      </c>
      <c r="I19">
        <v>0</v>
      </c>
      <c r="J19">
        <v>0</v>
      </c>
      <c r="K19">
        <v>0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ProjectProcess boarding and travel by Jeepney.QueueNumber WaitingQueue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1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0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0</v>
      </c>
      <c r="U19" s="5">
        <f>IF((ContinuousStatsTable[[#This Row],[RepsRequested]]&gt;1),ContinuousStatsTable[[#This Row],[HalfWidth]],ContinuousStatsTable[[#This Row],[BatchMeansHalfWidth]])</f>
        <v>2E+20</v>
      </c>
    </row>
    <row r="20" spans="1:21" x14ac:dyDescent="0.3">
      <c r="A20" t="s">
        <v>67</v>
      </c>
      <c r="B20" t="s">
        <v>72</v>
      </c>
      <c r="C20">
        <v>1</v>
      </c>
      <c r="D20" t="s">
        <v>107</v>
      </c>
      <c r="E20" t="s">
        <v>108</v>
      </c>
      <c r="F20" t="s">
        <v>81</v>
      </c>
      <c r="G20">
        <v>0</v>
      </c>
      <c r="H20">
        <v>2E+20</v>
      </c>
      <c r="I20">
        <v>0</v>
      </c>
      <c r="J20">
        <v>0</v>
      </c>
      <c r="K20">
        <v>0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ProjectStudent 1WIPEntity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1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</v>
      </c>
      <c r="U20" s="5">
        <f>IF((ContinuousStatsTable[[#This Row],[RepsRequested]]&gt;1),ContinuousStatsTable[[#This Row],[HalfWidth]],ContinuousStatsTable[[#This Row],[BatchMeansHalfWidth]])</f>
        <v>2E+20</v>
      </c>
    </row>
    <row r="21" spans="1:21" x14ac:dyDescent="0.3">
      <c r="A21" t="s">
        <v>69</v>
      </c>
      <c r="B21" t="s">
        <v>71</v>
      </c>
      <c r="C21">
        <v>1</v>
      </c>
      <c r="D21" t="s">
        <v>79</v>
      </c>
      <c r="E21" t="s">
        <v>108</v>
      </c>
      <c r="F21" t="s">
        <v>81</v>
      </c>
      <c r="G21">
        <v>3.9524839466180599</v>
      </c>
      <c r="H21">
        <v>3E+20</v>
      </c>
      <c r="I21">
        <v>0</v>
      </c>
      <c r="J21">
        <v>17</v>
      </c>
      <c r="K21">
        <v>2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CSE10L-Final_ProjectStudent Off PeakWIPEntity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1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3.9524839466180599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3.9524839466180599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3.9524839466180599</v>
      </c>
      <c r="U21" s="5">
        <f>IF((ContinuousStatsTable[[#This Row],[RepsRequested]]&gt;1),ContinuousStatsTable[[#This Row],[HalfWidth]],ContinuousStatsTable[[#This Row],[BatchMeansHalfWidth]])</f>
        <v>3E+20</v>
      </c>
    </row>
    <row r="22" spans="1:21" x14ac:dyDescent="0.3">
      <c r="A22" t="s">
        <v>69</v>
      </c>
      <c r="B22" t="s">
        <v>71</v>
      </c>
      <c r="C22">
        <v>1</v>
      </c>
      <c r="D22" t="s">
        <v>87</v>
      </c>
      <c r="E22" t="s">
        <v>108</v>
      </c>
      <c r="F22" t="s">
        <v>81</v>
      </c>
      <c r="G22">
        <v>29.737147470983899</v>
      </c>
      <c r="H22">
        <v>3E+20</v>
      </c>
      <c r="I22">
        <v>0</v>
      </c>
      <c r="J22">
        <v>59</v>
      </c>
      <c r="K22">
        <v>22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CSE10L-Final_ProjectStudent PeakWIPEntity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1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29.737147470983899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29.737147470983899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29.737147470983899</v>
      </c>
      <c r="U22" s="5">
        <f>IF((ContinuousStatsTable[[#This Row],[RepsRequested]]&gt;1),ContinuousStatsTable[[#This Row],[HalfWidth]],ContinuousStatsTable[[#This Row],[BatchMeansHalfWidth]])</f>
        <v>3E+20</v>
      </c>
    </row>
  </sheetData>
  <phoneticPr fontId="2" type="noConversion"/>
  <conditionalFormatting sqref="H2:H22">
    <cfRule type="expression" dxfId="11" priority="9">
      <formula>H2=200000000000000000000</formula>
    </cfRule>
  </conditionalFormatting>
  <conditionalFormatting sqref="H2:H22">
    <cfRule type="expression" dxfId="10" priority="7">
      <formula>H2=300000000000000000000</formula>
    </cfRule>
  </conditionalFormatting>
  <conditionalFormatting sqref="M2:U22">
    <cfRule type="expression" dxfId="9" priority="5">
      <formula>MOD(ROW(),2)=0</formula>
    </cfRule>
  </conditionalFormatting>
  <conditionalFormatting sqref="U2:U22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22 U2:U22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.109375" bestFit="1" customWidth="1"/>
    <col min="8" max="8" width="13.6640625" bestFit="1" customWidth="1"/>
    <col min="9" max="9" width="16.21875" bestFit="1" customWidth="1"/>
    <col min="10" max="10" width="10.109375" bestFit="1" customWidth="1"/>
    <col min="11" max="11" width="19" bestFit="1" customWidth="1"/>
    <col min="12" max="12" width="19.441406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7"/>
  <sheetViews>
    <sheetView workbookViewId="0">
      <selection activeCell="A2" sqref="A2:H31"/>
    </sheetView>
  </sheetViews>
  <sheetFormatPr defaultRowHeight="14.4" x14ac:dyDescent="0.3"/>
  <cols>
    <col min="1" max="1" width="18.33203125" bestFit="1" customWidth="1"/>
    <col min="2" max="2" width="21.21875" bestFit="1" customWidth="1"/>
    <col min="3" max="3" width="12.5546875" bestFit="1" customWidth="1"/>
    <col min="4" max="4" width="25.109375" bestFit="1" customWidth="1"/>
    <col min="5" max="5" width="18.21875" bestFit="1" customWidth="1"/>
    <col min="6" max="6" width="9" bestFit="1" customWidth="1"/>
    <col min="7" max="7" width="16.109375" bestFit="1" customWidth="1"/>
    <col min="8" max="8" width="11.33203125" bestFit="1" customWidth="1"/>
    <col min="9" max="9" width="67.88671875" bestFit="1" customWidth="1"/>
    <col min="10" max="10" width="16.21875" bestFit="1" customWidth="1"/>
    <col min="11" max="11" width="12" bestFit="1" customWidth="1"/>
    <col min="12" max="12" width="19" bestFit="1" customWidth="1"/>
    <col min="13" max="13" width="19.44140625" bestFit="1" customWidth="1"/>
    <col min="14" max="14" width="11.6640625" bestFit="1" customWidth="1"/>
    <col min="15" max="16" width="12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67</v>
      </c>
      <c r="B2" t="s">
        <v>72</v>
      </c>
      <c r="C2">
        <v>1</v>
      </c>
      <c r="D2" t="s">
        <v>109</v>
      </c>
      <c r="E2" t="s">
        <v>110</v>
      </c>
      <c r="F2" t="s">
        <v>100</v>
      </c>
      <c r="G2">
        <v>0</v>
      </c>
      <c r="H2">
        <v>0</v>
      </c>
      <c r="I2" t="str">
        <f>OutputTable[[#This Row],[ProjectName]]&amp;OutputTable[[#This Row],[Name]]&amp;OutputTable[[#This Row],[Type]]&amp;OutputTable[[#This Row],[Source]]</f>
        <v>Unnamed ProjectBus.NumberSeizedTotal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0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0</v>
      </c>
      <c r="P2" cm="1">
        <f t="array" ref="P2">MAX(IF((OutputTable[GroupByKey]=OutputTable[[#This Row],[GroupByKey]]),(OutputTable[GroupByKey]=OutputTable[[#This Row],[GroupByKey]])*OutputTable[RecordedValue]))</f>
        <v>0</v>
      </c>
    </row>
    <row r="3" spans="1:16" x14ac:dyDescent="0.3">
      <c r="A3" t="s">
        <v>69</v>
      </c>
      <c r="B3" t="s">
        <v>71</v>
      </c>
      <c r="C3">
        <v>1</v>
      </c>
      <c r="D3" t="s">
        <v>109</v>
      </c>
      <c r="E3" t="s">
        <v>110</v>
      </c>
      <c r="F3" t="s">
        <v>100</v>
      </c>
      <c r="G3">
        <v>2972</v>
      </c>
      <c r="H3">
        <v>0</v>
      </c>
      <c r="I3" t="str">
        <f>OutputTable[[#This Row],[ProjectName]]&amp;OutputTable[[#This Row],[Name]]&amp;OutputTable[[#This Row],[Type]]&amp;OutputTable[[#This Row],[Source]]</f>
        <v>CSE10L-Final_ProjectBus.NumberSeizedTotal Number SeizedResource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2972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2972</v>
      </c>
      <c r="P3" cm="1">
        <f t="array" ref="P3">MAX(IF((OutputTable[GroupByKey]=OutputTable[[#This Row],[GroupByKey]]),(OutputTable[GroupByKey]=OutputTable[[#This Row],[GroupByKey]])*OutputTable[RecordedValue]))</f>
        <v>2972</v>
      </c>
    </row>
    <row r="4" spans="1:16" x14ac:dyDescent="0.3">
      <c r="A4" t="s">
        <v>67</v>
      </c>
      <c r="B4" t="s">
        <v>72</v>
      </c>
      <c r="C4">
        <v>1</v>
      </c>
      <c r="D4" t="s">
        <v>111</v>
      </c>
      <c r="E4" t="s">
        <v>112</v>
      </c>
      <c r="F4" t="s">
        <v>100</v>
      </c>
      <c r="G4">
        <v>0</v>
      </c>
      <c r="H4">
        <v>0</v>
      </c>
      <c r="I4" t="str">
        <f>OutputTable[[#This Row],[ProjectName]]&amp;OutputTable[[#This Row],[Name]]&amp;OutputTable[[#This Row],[Type]]&amp;OutputTable[[#This Row],[Source]]</f>
        <v>Unnamed ProjectBus.ScheduledUtilizationScheduled UtilizationResource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0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0</v>
      </c>
      <c r="P4" cm="1">
        <f t="array" ref="P4">MAX(IF((OutputTable[GroupByKey]=OutputTable[[#This Row],[GroupByKey]]),(OutputTable[GroupByKey]=OutputTable[[#This Row],[GroupByKey]])*OutputTable[RecordedValue]))</f>
        <v>0</v>
      </c>
    </row>
    <row r="5" spans="1:16" x14ac:dyDescent="0.3">
      <c r="A5" t="s">
        <v>69</v>
      </c>
      <c r="B5" t="s">
        <v>71</v>
      </c>
      <c r="C5">
        <v>1</v>
      </c>
      <c r="D5" t="s">
        <v>111</v>
      </c>
      <c r="E5" t="s">
        <v>112</v>
      </c>
      <c r="F5" t="s">
        <v>100</v>
      </c>
      <c r="G5">
        <v>6.3922712258461994E-2</v>
      </c>
      <c r="H5">
        <v>0</v>
      </c>
      <c r="I5" t="str">
        <f>OutputTable[[#This Row],[ProjectName]]&amp;OutputTable[[#This Row],[Name]]&amp;OutputTable[[#This Row],[Type]]&amp;OutputTable[[#This Row],[Source]]</f>
        <v>CSE10L-Final_ProjectBus.ScheduledUtilizationScheduled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6.3922712258461994E-2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6.3922712258461994E-2</v>
      </c>
      <c r="P5" cm="1">
        <f t="array" ref="P5">MAX(IF((OutputTable[GroupByKey]=OutputTable[[#This Row],[GroupByKey]]),(OutputTable[GroupByKey]=OutputTable[[#This Row],[GroupByKey]])*OutputTable[RecordedValue]))</f>
        <v>6.3922712258461994E-2</v>
      </c>
    </row>
    <row r="6" spans="1:16" x14ac:dyDescent="0.3">
      <c r="A6" t="s">
        <v>67</v>
      </c>
      <c r="B6" t="s">
        <v>72</v>
      </c>
      <c r="C6">
        <v>1</v>
      </c>
      <c r="D6" t="s">
        <v>113</v>
      </c>
      <c r="E6" t="s">
        <v>110</v>
      </c>
      <c r="F6" t="s">
        <v>100</v>
      </c>
      <c r="G6">
        <v>0</v>
      </c>
      <c r="H6">
        <v>0</v>
      </c>
      <c r="I6" t="str">
        <f>OutputTable[[#This Row],[ProjectName]]&amp;OutputTable[[#This Row],[Name]]&amp;OutputTable[[#This Row],[Type]]&amp;OutputTable[[#This Row],[Source]]</f>
        <v>Unnamed ProjectJeepney.NumberSeizedTotal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0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0</v>
      </c>
      <c r="P6" cm="1">
        <f t="array" ref="P6">MAX(IF((OutputTable[GroupByKey]=OutputTable[[#This Row],[GroupByKey]]),(OutputTable[GroupByKey]=OutputTable[[#This Row],[GroupByKey]])*OutputTable[RecordedValue]))</f>
        <v>0</v>
      </c>
    </row>
    <row r="7" spans="1:16" x14ac:dyDescent="0.3">
      <c r="A7" t="s">
        <v>69</v>
      </c>
      <c r="B7" t="s">
        <v>71</v>
      </c>
      <c r="C7">
        <v>1</v>
      </c>
      <c r="D7" t="s">
        <v>113</v>
      </c>
      <c r="E7" t="s">
        <v>110</v>
      </c>
      <c r="F7" t="s">
        <v>100</v>
      </c>
      <c r="G7">
        <v>25506</v>
      </c>
      <c r="H7">
        <v>0</v>
      </c>
      <c r="I7" t="str">
        <f>OutputTable[[#This Row],[ProjectName]]&amp;OutputTable[[#This Row],[Name]]&amp;OutputTable[[#This Row],[Type]]&amp;OutputTable[[#This Row],[Source]]</f>
        <v>CSE10L-Final_ProjectJeepney.NumberSeizedTotal Number SeizedResource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25506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25506</v>
      </c>
      <c r="P7" cm="1">
        <f t="array" ref="P7">MAX(IF((OutputTable[GroupByKey]=OutputTable[[#This Row],[GroupByKey]]),(OutputTable[GroupByKey]=OutputTable[[#This Row],[GroupByKey]])*OutputTable[RecordedValue]))</f>
        <v>25506</v>
      </c>
    </row>
    <row r="8" spans="1:16" x14ac:dyDescent="0.3">
      <c r="A8" t="s">
        <v>67</v>
      </c>
      <c r="B8" t="s">
        <v>72</v>
      </c>
      <c r="C8">
        <v>1</v>
      </c>
      <c r="D8" t="s">
        <v>114</v>
      </c>
      <c r="E8" t="s">
        <v>112</v>
      </c>
      <c r="F8" t="s">
        <v>100</v>
      </c>
      <c r="G8">
        <v>0</v>
      </c>
      <c r="H8">
        <v>0</v>
      </c>
      <c r="I8" t="str">
        <f>OutputTable[[#This Row],[ProjectName]]&amp;OutputTable[[#This Row],[Name]]&amp;OutputTable[[#This Row],[Type]]&amp;OutputTable[[#This Row],[Source]]</f>
        <v>Unnamed ProjectJeepney.ScheduledUtilizationScheduled UtilizationResource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0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0</v>
      </c>
      <c r="P8" cm="1">
        <f t="array" ref="P8">MAX(IF((OutputTable[GroupByKey]=OutputTable[[#This Row],[GroupByKey]]),(OutputTable[GroupByKey]=OutputTable[[#This Row],[GroupByKey]])*OutputTable[RecordedValue]))</f>
        <v>0</v>
      </c>
    </row>
    <row r="9" spans="1:16" x14ac:dyDescent="0.3">
      <c r="A9" t="s">
        <v>69</v>
      </c>
      <c r="B9" t="s">
        <v>71</v>
      </c>
      <c r="C9">
        <v>1</v>
      </c>
      <c r="D9" t="s">
        <v>114</v>
      </c>
      <c r="E9" t="s">
        <v>112</v>
      </c>
      <c r="F9" t="s">
        <v>100</v>
      </c>
      <c r="G9">
        <v>0.991032449588783</v>
      </c>
      <c r="H9">
        <v>0</v>
      </c>
      <c r="I9" t="str">
        <f>OutputTable[[#This Row],[ProjectName]]&amp;OutputTable[[#This Row],[Name]]&amp;OutputTable[[#This Row],[Type]]&amp;OutputTable[[#This Row],[Source]]</f>
        <v>CSE10L-Final_ProjectJeepney.ScheduledUtilizationScheduled UtilizationResource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1</v>
      </c>
      <c r="K9" cm="1">
        <f t="array" ref="K9">IFERROR(AVERAGE(IF((OutputTable[GroupByKey]=OutputTable[[#This Row],[GroupByKey]]),(OutputTable[GroupByKey]=OutputTable[[#This Row],[GroupByKey]])*OutputTable[RecordedValue])),0)</f>
        <v>0.991032449588783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cm="1">
        <f t="array" ref="O9">MIN(IF((OutputTable[GroupByKey]=OutputTable[[#This Row],[GroupByKey]]),(OutputTable[GroupByKey]=OutputTable[[#This Row],[GroupByKey]])*OutputTable[RecordedValue]))</f>
        <v>0.991032449588783</v>
      </c>
      <c r="P9" cm="1">
        <f t="array" ref="P9">MAX(IF((OutputTable[GroupByKey]=OutputTable[[#This Row],[GroupByKey]]),(OutputTable[GroupByKey]=OutputTable[[#This Row],[GroupByKey]])*OutputTable[RecordedValue]))</f>
        <v>0.991032449588783</v>
      </c>
    </row>
    <row r="10" spans="1:16" x14ac:dyDescent="0.3">
      <c r="A10" t="s">
        <v>67</v>
      </c>
      <c r="B10" t="s">
        <v>72</v>
      </c>
      <c r="C10">
        <v>1</v>
      </c>
      <c r="D10" t="s">
        <v>115</v>
      </c>
      <c r="E10" t="s">
        <v>116</v>
      </c>
      <c r="F10" t="s">
        <v>81</v>
      </c>
      <c r="G10">
        <v>0</v>
      </c>
      <c r="H10">
        <v>0</v>
      </c>
      <c r="I10" t="str">
        <f>OutputTable[[#This Row],[ProjectName]]&amp;OutputTable[[#This Row],[Name]]&amp;OutputTable[[#This Row],[Type]]&amp;OutputTable[[#This Row],[Source]]</f>
        <v>Unnamed ProjectStudent 1.NumberInNumber InEntity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1</v>
      </c>
      <c r="K10" cm="1">
        <f t="array" ref="K10">IFERROR(AVERAGE(IF((OutputTable[GroupByKey]=OutputTable[[#This Row],[GroupByKey]]),(OutputTable[GroupByKey]=OutputTable[[#This Row],[GroupByKey]])*OutputTable[RecordedValue])),0)</f>
        <v>0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cm="1">
        <f t="array" ref="O10">MIN(IF((OutputTable[GroupByKey]=OutputTable[[#This Row],[GroupByKey]]),(OutputTable[GroupByKey]=OutputTable[[#This Row],[GroupByKey]])*OutputTable[RecordedValue]))</f>
        <v>0</v>
      </c>
      <c r="P10" cm="1">
        <f t="array" ref="P10">MAX(IF((OutputTable[GroupByKey]=OutputTable[[#This Row],[GroupByKey]]),(OutputTable[GroupByKey]=OutputTable[[#This Row],[GroupByKey]])*OutputTable[RecordedValue]))</f>
        <v>0</v>
      </c>
    </row>
    <row r="11" spans="1:16" x14ac:dyDescent="0.3">
      <c r="A11" t="s">
        <v>67</v>
      </c>
      <c r="B11" t="s">
        <v>72</v>
      </c>
      <c r="C11">
        <v>1</v>
      </c>
      <c r="D11" t="s">
        <v>117</v>
      </c>
      <c r="E11" t="s">
        <v>118</v>
      </c>
      <c r="F11" t="s">
        <v>81</v>
      </c>
      <c r="G11">
        <v>0</v>
      </c>
      <c r="H11">
        <v>0</v>
      </c>
      <c r="I11" t="str">
        <f>OutputTable[[#This Row],[ProjectName]]&amp;OutputTable[[#This Row],[Name]]&amp;OutputTable[[#This Row],[Type]]&amp;OutputTable[[#This Row],[Source]]</f>
        <v>Unnamed ProjectStudent 1.NumberOutNumber OutEntity</v>
      </c>
      <c r="J11" cm="1">
        <f t="array" ref="J11">MAX(IF((ProjectInfoTable[ProjectName]=OutputTable[[#This Row],[ProjectName]]),(ProjectInfoTable[ProjectName]=OutputTable[[#This Row],[ProjectName]])*ProjectInfoTable[NumberOfReplications]))</f>
        <v>1</v>
      </c>
      <c r="K11" cm="1">
        <f t="array" ref="K11">IFERROR(AVERAGE(IF((OutputTable[GroupByKey]=OutputTable[[#This Row],[GroupByKey]]),(OutputTable[GroupByKey]=OutputTable[[#This Row],[GroupByKey]])*OutputTable[RecordedValue])),0)</f>
        <v>0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 cm="1">
        <f t="array" ref="O11">MIN(IF((OutputTable[GroupByKey]=OutputTable[[#This Row],[GroupByKey]]),(OutputTable[GroupByKey]=OutputTable[[#This Row],[GroupByKey]])*OutputTable[RecordedValue]))</f>
        <v>0</v>
      </c>
      <c r="P11" cm="1">
        <f t="array" ref="P11">MAX(IF((OutputTable[GroupByKey]=OutputTable[[#This Row],[GroupByKey]]),(OutputTable[GroupByKey]=OutputTable[[#This Row],[GroupByKey]])*OutputTable[RecordedValue]))</f>
        <v>0</v>
      </c>
    </row>
    <row r="12" spans="1:16" x14ac:dyDescent="0.3">
      <c r="A12" t="s">
        <v>69</v>
      </c>
      <c r="B12" t="s">
        <v>71</v>
      </c>
      <c r="C12">
        <v>1</v>
      </c>
      <c r="D12" t="s">
        <v>119</v>
      </c>
      <c r="E12" t="s">
        <v>116</v>
      </c>
      <c r="F12" t="s">
        <v>81</v>
      </c>
      <c r="G12">
        <v>5448</v>
      </c>
      <c r="H12">
        <v>0</v>
      </c>
      <c r="I12" t="str">
        <f>OutputTable[[#This Row],[ProjectName]]&amp;OutputTable[[#This Row],[Name]]&amp;OutputTable[[#This Row],[Type]]&amp;OutputTable[[#This Row],[Source]]</f>
        <v>CSE10L-Final_ProjectStudent Off Peak.NumberInNumber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1</v>
      </c>
      <c r="K12" cm="1">
        <f t="array" ref="K12">IFERROR(AVERAGE(IF((OutputTable[GroupByKey]=OutputTable[[#This Row],[GroupByKey]]),(OutputTable[GroupByKey]=OutputTable[[#This Row],[GroupByKey]])*OutputTable[RecordedValue])),0)</f>
        <v>5448</v>
      </c>
      <c r="L12" cm="1">
        <f t="array" ref="L12">IFERROR(_xlfn.STDEV.S(IF((OutputTable[GroupByKey]=OutputTable[[#This Row],[GroupByKey]]),(OutputTable[GroupByKey]=OutputTable[[#This Row],[GroupByKey]])*OutputTable[RecordedValue])),0)</f>
        <v>0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 cm="1">
        <f t="array" ref="O12">MIN(IF((OutputTable[GroupByKey]=OutputTable[[#This Row],[GroupByKey]]),(OutputTable[GroupByKey]=OutputTable[[#This Row],[GroupByKey]])*OutputTable[RecordedValue]))</f>
        <v>5448</v>
      </c>
      <c r="P12" cm="1">
        <f t="array" ref="P12">MAX(IF((OutputTable[GroupByKey]=OutputTable[[#This Row],[GroupByKey]]),(OutputTable[GroupByKey]=OutputTable[[#This Row],[GroupByKey]])*OutputTable[RecordedValue]))</f>
        <v>5448</v>
      </c>
    </row>
    <row r="13" spans="1:16" x14ac:dyDescent="0.3">
      <c r="A13" t="s">
        <v>69</v>
      </c>
      <c r="B13" t="s">
        <v>71</v>
      </c>
      <c r="C13">
        <v>1</v>
      </c>
      <c r="D13" t="s">
        <v>120</v>
      </c>
      <c r="E13" t="s">
        <v>118</v>
      </c>
      <c r="F13" t="s">
        <v>81</v>
      </c>
      <c r="G13">
        <v>5446</v>
      </c>
      <c r="H13">
        <v>0</v>
      </c>
      <c r="I13" t="str">
        <f>OutputTable[[#This Row],[ProjectName]]&amp;OutputTable[[#This Row],[Name]]&amp;OutputTable[[#This Row],[Type]]&amp;OutputTable[[#This Row],[Source]]</f>
        <v>CSE10L-Final_ProjectStudent Off Peak.NumberOutNumber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1</v>
      </c>
      <c r="K13" cm="1">
        <f t="array" ref="K13">IFERROR(AVERAGE(IF((OutputTable[GroupByKey]=OutputTable[[#This Row],[GroupByKey]]),(OutputTable[GroupByKey]=OutputTable[[#This Row],[GroupByKey]])*OutputTable[RecordedValue])),0)</f>
        <v>5446</v>
      </c>
      <c r="L13" cm="1">
        <f t="array" ref="L13">IFERROR(_xlfn.STDEV.S(IF((OutputTable[GroupByKey]=OutputTable[[#This Row],[GroupByKey]]),(OutputTable[GroupByKey]=OutputTable[[#This Row],[GroupByKey]])*OutputTable[RecordedValue])),0)</f>
        <v>0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" cm="1">
        <f t="array" ref="O13">MIN(IF((OutputTable[GroupByKey]=OutputTable[[#This Row],[GroupByKey]]),(OutputTable[GroupByKey]=OutputTable[[#This Row],[GroupByKey]])*OutputTable[RecordedValue]))</f>
        <v>5446</v>
      </c>
      <c r="P13" cm="1">
        <f t="array" ref="P13">MAX(IF((OutputTable[GroupByKey]=OutputTable[[#This Row],[GroupByKey]]),(OutputTable[GroupByKey]=OutputTable[[#This Row],[GroupByKey]])*OutputTable[RecordedValue]))</f>
        <v>5446</v>
      </c>
    </row>
    <row r="14" spans="1:16" x14ac:dyDescent="0.3">
      <c r="A14" t="s">
        <v>69</v>
      </c>
      <c r="B14" t="s">
        <v>71</v>
      </c>
      <c r="C14">
        <v>1</v>
      </c>
      <c r="D14" t="s">
        <v>121</v>
      </c>
      <c r="E14" t="s">
        <v>116</v>
      </c>
      <c r="F14" t="s">
        <v>81</v>
      </c>
      <c r="G14">
        <v>23034</v>
      </c>
      <c r="H14">
        <v>0</v>
      </c>
      <c r="I14" t="str">
        <f>OutputTable[[#This Row],[ProjectName]]&amp;OutputTable[[#This Row],[Name]]&amp;OutputTable[[#This Row],[Type]]&amp;OutputTable[[#This Row],[Source]]</f>
        <v>CSE10L-Final_ProjectStudent Peak.NumberInNumber InEntity</v>
      </c>
      <c r="J14" cm="1">
        <f t="array" ref="J14">MAX(IF((ProjectInfoTable[ProjectName]=OutputTable[[#This Row],[ProjectName]]),(ProjectInfoTable[ProjectName]=OutputTable[[#This Row],[ProjectName]])*ProjectInfoTable[NumberOfReplications]))</f>
        <v>1</v>
      </c>
      <c r="K14" cm="1">
        <f t="array" ref="K14">IFERROR(AVERAGE(IF((OutputTable[GroupByKey]=OutputTable[[#This Row],[GroupByKey]]),(OutputTable[GroupByKey]=OutputTable[[#This Row],[GroupByKey]])*OutputTable[RecordedValue])),0)</f>
        <v>23034</v>
      </c>
      <c r="L14" cm="1">
        <f t="array" ref="L14">IFERROR(_xlfn.STDEV.S(IF((OutputTable[GroupByKey]=OutputTable[[#This Row],[GroupByKey]]),(OutputTable[GroupByKey]=OutputTable[[#This Row],[GroupByKey]])*OutputTable[RecordedValue])),0)</f>
        <v>0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" cm="1">
        <f t="array" ref="O14">MIN(IF((OutputTable[GroupByKey]=OutputTable[[#This Row],[GroupByKey]]),(OutputTable[GroupByKey]=OutputTable[[#This Row],[GroupByKey]])*OutputTable[RecordedValue]))</f>
        <v>23034</v>
      </c>
      <c r="P14" cm="1">
        <f t="array" ref="P14">MAX(IF((OutputTable[GroupByKey]=OutputTable[[#This Row],[GroupByKey]]),(OutputTable[GroupByKey]=OutputTable[[#This Row],[GroupByKey]])*OutputTable[RecordedValue]))</f>
        <v>23034</v>
      </c>
    </row>
    <row r="15" spans="1:16" x14ac:dyDescent="0.3">
      <c r="A15" t="s">
        <v>69</v>
      </c>
      <c r="B15" t="s">
        <v>71</v>
      </c>
      <c r="C15">
        <v>1</v>
      </c>
      <c r="D15" t="s">
        <v>122</v>
      </c>
      <c r="E15" t="s">
        <v>118</v>
      </c>
      <c r="F15" t="s">
        <v>81</v>
      </c>
      <c r="G15">
        <v>23012</v>
      </c>
      <c r="H15">
        <v>0</v>
      </c>
      <c r="I15" t="str">
        <f>OutputTable[[#This Row],[ProjectName]]&amp;OutputTable[[#This Row],[Name]]&amp;OutputTable[[#This Row],[Type]]&amp;OutputTable[[#This Row],[Source]]</f>
        <v>CSE10L-Final_ProjectStudent Peak.NumberOutNumber OutEntity</v>
      </c>
      <c r="J15" cm="1">
        <f t="array" ref="J15">MAX(IF((ProjectInfoTable[ProjectName]=OutputTable[[#This Row],[ProjectName]]),(ProjectInfoTable[ProjectName]=OutputTable[[#This Row],[ProjectName]])*ProjectInfoTable[NumberOfReplications]))</f>
        <v>1</v>
      </c>
      <c r="K15" cm="1">
        <f t="array" ref="K15">IFERROR(AVERAGE(IF((OutputTable[GroupByKey]=OutputTable[[#This Row],[GroupByKey]]),(OutputTable[GroupByKey]=OutputTable[[#This Row],[GroupByKey]])*OutputTable[RecordedValue])),0)</f>
        <v>23012</v>
      </c>
      <c r="L15" cm="1">
        <f t="array" ref="L15">IFERROR(_xlfn.STDEV.S(IF((OutputTable[GroupByKey]=OutputTable[[#This Row],[GroupByKey]]),(OutputTable[GroupByKey]=OutputTable[[#This Row],[GroupByKey]])*OutputTable[RecordedValue])),0)</f>
        <v>0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5" cm="1">
        <f t="array" ref="O15">MIN(IF((OutputTable[GroupByKey]=OutputTable[[#This Row],[GroupByKey]]),(OutputTable[GroupByKey]=OutputTable[[#This Row],[GroupByKey]])*OutputTable[RecordedValue]))</f>
        <v>23012</v>
      </c>
      <c r="P15" cm="1">
        <f t="array" ref="P15">MAX(IF((OutputTable[GroupByKey]=OutputTable[[#This Row],[GroupByKey]]),(OutputTable[GroupByKey]=OutputTable[[#This Row],[GroupByKey]])*OutputTable[RecordedValue]))</f>
        <v>23012</v>
      </c>
    </row>
    <row r="16" spans="1:16" x14ac:dyDescent="0.3">
      <c r="A16" t="s">
        <v>67</v>
      </c>
      <c r="B16" t="s">
        <v>72</v>
      </c>
      <c r="C16">
        <v>1</v>
      </c>
      <c r="D16" t="s">
        <v>123</v>
      </c>
      <c r="E16" t="s">
        <v>118</v>
      </c>
      <c r="F16" t="s">
        <v>124</v>
      </c>
      <c r="G16">
        <v>0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1</v>
      </c>
      <c r="K16" cm="1">
        <f t="array" ref="K16">IFERROR(AVERAGE(IF((OutputTable[GroupByKey]=OutputTable[[#This Row],[GroupByKey]]),(OutputTable[GroupByKey]=OutputTable[[#This Row],[GroupByKey]])*OutputTable[RecordedValue])),0)</f>
        <v>0</v>
      </c>
      <c r="L16" cm="1">
        <f t="array" ref="L16">IFERROR(_xlfn.STDEV.S(IF((OutputTable[GroupByKey]=OutputTable[[#This Row],[GroupByKey]]),(OutputTable[GroupByKey]=OutputTable[[#This Row],[GroupByKey]])*OutputTable[RecordedValue])),0)</f>
        <v>0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6" cm="1">
        <f t="array" ref="O16">MIN(IF((OutputTable[GroupByKey]=OutputTable[[#This Row],[GroupByKey]]),(OutputTable[GroupByKey]=OutputTable[[#This Row],[GroupByKey]])*OutputTable[RecordedValue]))</f>
        <v>0</v>
      </c>
      <c r="P16" cm="1">
        <f t="array" ref="P16">MAX(IF((OutputTable[GroupByKey]=OutputTable[[#This Row],[GroupByKey]]),(OutputTable[GroupByKey]=OutputTable[[#This Row],[GroupByKey]])*OutputTable[RecordedValue]))</f>
        <v>0</v>
      </c>
    </row>
    <row r="17" spans="1:16" x14ac:dyDescent="0.3">
      <c r="A17" t="s">
        <v>69</v>
      </c>
      <c r="B17" t="s">
        <v>71</v>
      </c>
      <c r="C17">
        <v>1</v>
      </c>
      <c r="D17" t="s">
        <v>123</v>
      </c>
      <c r="E17" t="s">
        <v>118</v>
      </c>
      <c r="F17" t="s">
        <v>124</v>
      </c>
      <c r="G17">
        <v>28458</v>
      </c>
      <c r="H17">
        <v>0</v>
      </c>
      <c r="I17" t="str">
        <f>OutputTable[[#This Row],[ProjectName]]&amp;OutputTable[[#This Row],[Name]]&amp;OutputTable[[#This Row],[Type]]&amp;OutputTable[[#This Row],[Source]]</f>
        <v>CSE10L-Final_ProjectSystem.NumberOutNumber OutSystem</v>
      </c>
      <c r="J17" cm="1">
        <f t="array" ref="J17">MAX(IF((ProjectInfoTable[ProjectName]=OutputTable[[#This Row],[ProjectName]]),(ProjectInfoTable[ProjectName]=OutputTable[[#This Row],[ProjectName]])*ProjectInfoTable[NumberOfReplications]))</f>
        <v>1</v>
      </c>
      <c r="K17" cm="1">
        <f t="array" ref="K17">IFERROR(AVERAGE(IF((OutputTable[GroupByKey]=OutputTable[[#This Row],[GroupByKey]]),(OutputTable[GroupByKey]=OutputTable[[#This Row],[GroupByKey]])*OutputTable[RecordedValue])),0)</f>
        <v>28458</v>
      </c>
      <c r="L17" cm="1">
        <f t="array" ref="L17">IFERROR(_xlfn.STDEV.S(IF((OutputTable[GroupByKey]=OutputTable[[#This Row],[GroupByKey]]),(OutputTable[GroupByKey]=OutputTable[[#This Row],[GroupByKey]])*OutputTable[RecordedValue])),0)</f>
        <v>0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7" cm="1">
        <f t="array" ref="O17">MIN(IF((OutputTable[GroupByKey]=OutputTable[[#This Row],[GroupByKey]]),(OutputTable[GroupByKey]=OutputTable[[#This Row],[GroupByKey]])*OutputTable[RecordedValue]))</f>
        <v>28458</v>
      </c>
      <c r="P17" cm="1">
        <f t="array" ref="P17">MAX(IF((OutputTable[GroupByKey]=OutputTable[[#This Row],[GroupByKey]]),(OutputTable[GroupByKey]=OutputTable[[#This Row],[GroupByKey]])*OutputTable[RecordedValue]))</f>
        <v>28458</v>
      </c>
    </row>
  </sheetData>
  <phoneticPr fontId="2" type="noConversion"/>
  <conditionalFormatting sqref="I2:P17">
    <cfRule type="expression" dxfId="3" priority="2">
      <formula>MOD(ROW(),2)=0</formula>
    </cfRule>
  </conditionalFormatting>
  <conditionalFormatting sqref="N2:N17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5546875" bestFit="1" customWidth="1"/>
    <col min="8" max="8" width="21.21875" bestFit="1" customWidth="1"/>
    <col min="9" max="9" width="23.77734375" bestFit="1" customWidth="1"/>
    <col min="10" max="10" width="25" bestFit="1" customWidth="1"/>
    <col min="11" max="11" width="15.33203125" bestFit="1" customWidth="1"/>
    <col min="12" max="12" width="13.6640625" bestFit="1" customWidth="1"/>
    <col min="13" max="13" width="28.88671875" bestFit="1" customWidth="1"/>
    <col min="14" max="14" width="29.5546875" bestFit="1" customWidth="1"/>
    <col min="15" max="15" width="16.21875" bestFit="1" customWidth="1"/>
    <col min="16" max="16" width="27.6640625" bestFit="1" customWidth="1"/>
    <col min="17" max="17" width="28.33203125" bestFit="1" customWidth="1"/>
    <col min="18" max="18" width="29.21875" bestFit="1" customWidth="1"/>
    <col min="19" max="19" width="28.33203125" bestFit="1" customWidth="1"/>
    <col min="20" max="20" width="26.21875" bestFit="1" customWidth="1"/>
    <col min="21" max="21" width="29.88671875" bestFit="1" customWidth="1"/>
    <col min="22" max="22" width="31.88671875" bestFit="1" customWidth="1"/>
    <col min="23" max="23" width="32.10937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Aub AverageWeebo101</cp:lastModifiedBy>
  <cp:lastPrinted>2022-03-22T10:33:10Z</cp:lastPrinted>
  <dcterms:created xsi:type="dcterms:W3CDTF">2020-06-29T21:30:31Z</dcterms:created>
  <dcterms:modified xsi:type="dcterms:W3CDTF">2024-10-06T15:41:28Z</dcterms:modified>
</cp:coreProperties>
</file>